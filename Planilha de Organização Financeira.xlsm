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ables/table6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ycon\Desktop\Git\Planilha Organização Financeira\Planilha_Organizacao_Financeira\"/>
    </mc:Choice>
  </mc:AlternateContent>
  <xr:revisionPtr revIDLastSave="0" documentId="13_ncr:1_{1FE60A54-043C-47DF-810A-0903BEA8DA18}" xr6:coauthVersionLast="47" xr6:coauthVersionMax="47" xr10:uidLastSave="{00000000-0000-0000-0000-000000000000}"/>
  <bookViews>
    <workbookView xWindow="-120" yWindow="-120" windowWidth="20730" windowHeight="11760" tabRatio="742" xr2:uid="{8EE2E4EA-372C-4F9A-8828-E4113CDDBD45}"/>
  </bookViews>
  <sheets>
    <sheet name="RESUMO" sheetId="4" r:id="rId1"/>
    <sheet name="MODELO" sheetId="1" r:id="rId2"/>
    <sheet name="Variáveis de Seleção" sheetId="3" state="hidden" r:id="rId3"/>
    <sheet name="JAN_2024" sheetId="5" r:id="rId4"/>
    <sheet name="FEV_2024" sheetId="41" r:id="rId5"/>
    <sheet name="MAR_2024" sheetId="43" r:id="rId6"/>
    <sheet name="ABR_2024 " sheetId="44" r:id="rId7"/>
    <sheet name="MAI_2024" sheetId="46" r:id="rId8"/>
    <sheet name="JUN_2024" sheetId="45" r:id="rId9"/>
    <sheet name="JUL_2024" sheetId="47" r:id="rId10"/>
    <sheet name="AGO_2024" sheetId="48" r:id="rId11"/>
    <sheet name="SET_2024" sheetId="49" r:id="rId12"/>
    <sheet name="OUT_2024" sheetId="50" r:id="rId13"/>
    <sheet name="NOV_2024" sheetId="51" r:id="rId14"/>
    <sheet name="DEZ_2024" sheetId="52" r:id="rId15"/>
    <sheet name="Tipos de Gastos" sheetId="2" r:id="rId16"/>
  </sheets>
  <definedNames>
    <definedName name="Alimentação" localSheetId="6">Tipos_de_Gastos[ALIMENTAÇÃO]</definedName>
    <definedName name="Alimentação" localSheetId="10">Tipos_de_Gastos[ALIMENTAÇÃO]</definedName>
    <definedName name="Alimentação" localSheetId="14">Tipos_de_Gastos[ALIMENTAÇÃO]</definedName>
    <definedName name="Alimentação" localSheetId="4">Tipos_de_Gastos[ALIMENTAÇÃO]</definedName>
    <definedName name="Alimentação" localSheetId="3">Tipos_de_Gastos[ALIMENTAÇÃO]</definedName>
    <definedName name="Alimentação" localSheetId="9">Tipos_de_Gastos[ALIMENTAÇÃO]</definedName>
    <definedName name="Alimentação" localSheetId="8">Tipos_de_Gastos[ALIMENTAÇÃO]</definedName>
    <definedName name="Alimentação" localSheetId="7">Tipos_de_Gastos[ALIMENTAÇÃO]</definedName>
    <definedName name="Alimentação" localSheetId="5">Tipos_de_Gastos[ALIMENTAÇÃO]</definedName>
    <definedName name="Alimentação" localSheetId="13">Tipos_de_Gastos[ALIMENTAÇÃO]</definedName>
    <definedName name="Alimentação" localSheetId="12">Tipos_de_Gastos[ALIMENTAÇÃO]</definedName>
    <definedName name="Alimentação" localSheetId="11">Tipos_de_Gastos[ALIMENTAÇÃO]</definedName>
    <definedName name="Alimentação">Tipos_de_Gastos[ALIMENTAÇÃO]</definedName>
    <definedName name="DuplicarModelo">"Button 1"</definedName>
    <definedName name="Educação" localSheetId="6">Tipos_de_Gastos[EDUCAÇÃO]</definedName>
    <definedName name="Educação" localSheetId="10">Tipos_de_Gastos[EDUCAÇÃO]</definedName>
    <definedName name="Educação" localSheetId="14">Tipos_de_Gastos[EDUCAÇÃO]</definedName>
    <definedName name="Educação" localSheetId="4">Tipos_de_Gastos[EDUCAÇÃO]</definedName>
    <definedName name="Educação" localSheetId="3">Tipos_de_Gastos[EDUCAÇÃO]</definedName>
    <definedName name="Educação" localSheetId="9">Tipos_de_Gastos[EDUCAÇÃO]</definedName>
    <definedName name="Educação" localSheetId="8">Tipos_de_Gastos[EDUCAÇÃO]</definedName>
    <definedName name="Educação" localSheetId="7">Tipos_de_Gastos[EDUCAÇÃO]</definedName>
    <definedName name="Educação" localSheetId="5">Tipos_de_Gastos[EDUCAÇÃO]</definedName>
    <definedName name="Educação" localSheetId="13">Tipos_de_Gastos[EDUCAÇÃO]</definedName>
    <definedName name="Educação" localSheetId="12">Tipos_de_Gastos[EDUCAÇÃO]</definedName>
    <definedName name="Educação" localSheetId="11">Tipos_de_Gastos[EDUCAÇÃO]</definedName>
    <definedName name="Educação">Tipos_de_Gastos[EDUCAÇÃO]</definedName>
    <definedName name="EssenciaisTotais" localSheetId="6">'ABR_2024 '!$E$24</definedName>
    <definedName name="EssenciaisTotais" localSheetId="10">AGO_2024!$E$24</definedName>
    <definedName name="EssenciaisTotais" localSheetId="14">DEZ_2024!$E$24</definedName>
    <definedName name="EssenciaisTotais" localSheetId="4">FEV_2024!$E$24</definedName>
    <definedName name="EssenciaisTotais" localSheetId="3">JAN_2024!$E$24</definedName>
    <definedName name="EssenciaisTotais" localSheetId="9">JUL_2024!$E$24</definedName>
    <definedName name="EssenciaisTotais" localSheetId="8">JUN_2024!$E$24</definedName>
    <definedName name="EssenciaisTotais" localSheetId="7">MAI_2024!$E$24</definedName>
    <definedName name="EssenciaisTotais" localSheetId="5">MAR_2024!$E$24</definedName>
    <definedName name="EssenciaisTotais" localSheetId="13">NOV_2024!$E$24</definedName>
    <definedName name="EssenciaisTotais" localSheetId="12">OUT_2024!$E$24</definedName>
    <definedName name="EssenciaisTotais" localSheetId="11">SET_2024!$E$24</definedName>
    <definedName name="EssenciaisTotais">MODELO!$E$24</definedName>
    <definedName name="FixosTotais" localSheetId="6">'ABR_2024 '!$E$16</definedName>
    <definedName name="FixosTotais" localSheetId="10">AGO_2024!$E$16</definedName>
    <definedName name="FixosTotais" localSheetId="14">DEZ_2024!$E$16</definedName>
    <definedName name="FixosTotais" localSheetId="4">FEV_2024!$E$16</definedName>
    <definedName name="FixosTotais" localSheetId="3">JAN_2024!$E$16</definedName>
    <definedName name="FixosTotais" localSheetId="9">JUL_2024!$E$16</definedName>
    <definedName name="FixosTotais" localSheetId="8">JUN_2024!$E$16</definedName>
    <definedName name="FixosTotais" localSheetId="7">MAI_2024!$E$16</definedName>
    <definedName name="FixosTotais" localSheetId="5">MAR_2024!$E$16</definedName>
    <definedName name="FixosTotais" localSheetId="13">NOV_2024!$E$16</definedName>
    <definedName name="FixosTotais" localSheetId="12">OUT_2024!$E$16</definedName>
    <definedName name="FixosTotais" localSheetId="11">SET_2024!$E$16</definedName>
    <definedName name="FixosTotais">MODELO!$E$16</definedName>
    <definedName name="Habitação" localSheetId="6">Tipos_de_Gastos[HABITAÇÃO]</definedName>
    <definedName name="Habitação" localSheetId="10">Tipos_de_Gastos[HABITAÇÃO]</definedName>
    <definedName name="Habitação" localSheetId="14">Tipos_de_Gastos[HABITAÇÃO]</definedName>
    <definedName name="Habitação" localSheetId="4">Tipos_de_Gastos[HABITAÇÃO]</definedName>
    <definedName name="Habitação" localSheetId="3">Tipos_de_Gastos[HABITAÇÃO]</definedName>
    <definedName name="Habitação" localSheetId="9">Tipos_de_Gastos[HABITAÇÃO]</definedName>
    <definedName name="Habitação" localSheetId="8">Tipos_de_Gastos[HABITAÇÃO]</definedName>
    <definedName name="Habitação" localSheetId="7">Tipos_de_Gastos[HABITAÇÃO]</definedName>
    <definedName name="Habitação" localSheetId="5">Tipos_de_Gastos[HABITAÇÃO]</definedName>
    <definedName name="Habitação" localSheetId="13">Tipos_de_Gastos[HABITAÇÃO]</definedName>
    <definedName name="Habitação" localSheetId="12">Tipos_de_Gastos[HABITAÇÃO]</definedName>
    <definedName name="Habitação" localSheetId="11">Tipos_de_Gastos[HABITAÇÃO]</definedName>
    <definedName name="Habitação">Tipos_de_Gastos[HABITAÇÃO]</definedName>
    <definedName name="Lazer" localSheetId="6">Tipos_de_Gastos[LAZER]</definedName>
    <definedName name="Lazer" localSheetId="10">Tipos_de_Gastos[LAZER]</definedName>
    <definedName name="Lazer" localSheetId="14">Tipos_de_Gastos[LAZER]</definedName>
    <definedName name="Lazer" localSheetId="4">Tipos_de_Gastos[LAZER]</definedName>
    <definedName name="Lazer" localSheetId="3">Tipos_de_Gastos[LAZER]</definedName>
    <definedName name="Lazer" localSheetId="9">Tipos_de_Gastos[LAZER]</definedName>
    <definedName name="Lazer" localSheetId="8">Tipos_de_Gastos[LAZER]</definedName>
    <definedName name="Lazer" localSheetId="7">Tipos_de_Gastos[LAZER]</definedName>
    <definedName name="Lazer" localSheetId="5">Tipos_de_Gastos[LAZER]</definedName>
    <definedName name="Lazer" localSheetId="13">Tipos_de_Gastos[LAZER]</definedName>
    <definedName name="Lazer" localSheetId="12">Tipos_de_Gastos[LAZER]</definedName>
    <definedName name="Lazer" localSheetId="11">Tipos_de_Gastos[LAZER]</definedName>
    <definedName name="Lazer">Tipos_de_Gastos[LAZER]</definedName>
    <definedName name="NãoEssenciaisTotais" localSheetId="6">'ABR_2024 '!$E$33</definedName>
    <definedName name="NãoEssenciaisTotais" localSheetId="10">AGO_2024!$E$33</definedName>
    <definedName name="NãoEssenciaisTotais" localSheetId="14">DEZ_2024!$E$33</definedName>
    <definedName name="NãoEssenciaisTotais" localSheetId="4">FEV_2024!$E$33</definedName>
    <definedName name="NãoEssenciaisTotais" localSheetId="3">JAN_2024!$E$33</definedName>
    <definedName name="NãoEssenciaisTotais" localSheetId="9">JUL_2024!$E$33</definedName>
    <definedName name="NãoEssenciaisTotais" localSheetId="8">JUN_2024!$E$33</definedName>
    <definedName name="NãoEssenciaisTotais" localSheetId="7">MAI_2024!$E$33</definedName>
    <definedName name="NãoEssenciaisTotais" localSheetId="5">MAR_2024!$E$33</definedName>
    <definedName name="NãoEssenciaisTotais" localSheetId="13">NOV_2024!$E$33</definedName>
    <definedName name="NãoEssenciaisTotais" localSheetId="12">OUT_2024!$E$33</definedName>
    <definedName name="NãoEssenciaisTotais" localSheetId="11">SET_2024!$E$33</definedName>
    <definedName name="NãoEssenciaisTotais">MODELO!$E$33</definedName>
    <definedName name="Outros" localSheetId="6">Tipos_de_Gastos[OUTROS]</definedName>
    <definedName name="Outros" localSheetId="10">Tipos_de_Gastos[OUTROS]</definedName>
    <definedName name="Outros" localSheetId="14">Tipos_de_Gastos[OUTROS]</definedName>
    <definedName name="Outros" localSheetId="4">Tipos_de_Gastos[OUTROS]</definedName>
    <definedName name="Outros" localSheetId="3">Tipos_de_Gastos[OUTROS]</definedName>
    <definedName name="Outros" localSheetId="9">Tipos_de_Gastos[OUTROS]</definedName>
    <definedName name="Outros" localSheetId="8">Tipos_de_Gastos[OUTROS]</definedName>
    <definedName name="Outros" localSheetId="7">Tipos_de_Gastos[OUTROS]</definedName>
    <definedName name="Outros" localSheetId="5">Tipos_de_Gastos[OUTROS]</definedName>
    <definedName name="Outros" localSheetId="13">Tipos_de_Gastos[OUTROS]</definedName>
    <definedName name="Outros" localSheetId="12">Tipos_de_Gastos[OUTROS]</definedName>
    <definedName name="Outros" localSheetId="11">Tipos_de_Gastos[OUTROS]</definedName>
    <definedName name="Outros">Tipos_de_Gastos[OUTROS]</definedName>
    <definedName name="Pessoal" localSheetId="6">Tipos_de_Gastos[DESPESAS PESSOAIS]</definedName>
    <definedName name="Pessoal" localSheetId="10">Tipos_de_Gastos[DESPESAS PESSOAIS]</definedName>
    <definedName name="Pessoal" localSheetId="14">Tipos_de_Gastos[DESPESAS PESSOAIS]</definedName>
    <definedName name="Pessoal" localSheetId="4">Tipos_de_Gastos[DESPESAS PESSOAIS]</definedName>
    <definedName name="Pessoal" localSheetId="3">Tipos_de_Gastos[DESPESAS PESSOAIS]</definedName>
    <definedName name="Pessoal" localSheetId="9">Tipos_de_Gastos[DESPESAS PESSOAIS]</definedName>
    <definedName name="Pessoal" localSheetId="8">Tipos_de_Gastos[DESPESAS PESSOAIS]</definedName>
    <definedName name="Pessoal" localSheetId="7">Tipos_de_Gastos[DESPESAS PESSOAIS]</definedName>
    <definedName name="Pessoal" localSheetId="5">Tipos_de_Gastos[DESPESAS PESSOAIS]</definedName>
    <definedName name="Pessoal" localSheetId="13">Tipos_de_Gastos[DESPESAS PESSOAIS]</definedName>
    <definedName name="Pessoal" localSheetId="12">Tipos_de_Gastos[DESPESAS PESSOAIS]</definedName>
    <definedName name="Pessoal" localSheetId="11">Tipos_de_Gastos[DESPESAS PESSOAIS]</definedName>
    <definedName name="Pessoal">Tipos_de_Gastos[DESPESAS PESSOAIS]</definedName>
    <definedName name="RendaTotal" localSheetId="6">'ABR_2024 '!$E$7</definedName>
    <definedName name="RendaTotal" localSheetId="10">AGO_2024!$E$7</definedName>
    <definedName name="RendaTotal" localSheetId="14">DEZ_2024!$E$7</definedName>
    <definedName name="RendaTotal" localSheetId="4">FEV_2024!$E$7</definedName>
    <definedName name="RendaTotal" localSheetId="3">JAN_2024!$E$7</definedName>
    <definedName name="RendaTotal" localSheetId="9">JUL_2024!$E$7</definedName>
    <definedName name="RendaTotal" localSheetId="8">JUN_2024!$E$7</definedName>
    <definedName name="RendaTotal" localSheetId="7">MAI_2024!$E$7</definedName>
    <definedName name="RendaTotal" localSheetId="5">MAR_2024!$E$7</definedName>
    <definedName name="RendaTotal" localSheetId="13">NOV_2024!$E$7</definedName>
    <definedName name="RendaTotal" localSheetId="12">OUT_2024!$E$7</definedName>
    <definedName name="RendaTotal" localSheetId="11">SET_2024!$E$7</definedName>
    <definedName name="RendaTotal">MODELO!$E$7</definedName>
    <definedName name="Saúde" localSheetId="6">Tipos_de_Gastos[SAÚDE]</definedName>
    <definedName name="Saúde" localSheetId="10">Tipos_de_Gastos[SAÚDE]</definedName>
    <definedName name="Saúde" localSheetId="14">Tipos_de_Gastos[SAÚDE]</definedName>
    <definedName name="Saúde" localSheetId="4">Tipos_de_Gastos[SAÚDE]</definedName>
    <definedName name="Saúde" localSheetId="3">Tipos_de_Gastos[SAÚDE]</definedName>
    <definedName name="Saúde" localSheetId="9">Tipos_de_Gastos[SAÚDE]</definedName>
    <definedName name="Saúde" localSheetId="8">Tipos_de_Gastos[SAÚDE]</definedName>
    <definedName name="Saúde" localSheetId="7">Tipos_de_Gastos[SAÚDE]</definedName>
    <definedName name="Saúde" localSheetId="5">Tipos_de_Gastos[SAÚDE]</definedName>
    <definedName name="Saúde" localSheetId="13">Tipos_de_Gastos[SAÚDE]</definedName>
    <definedName name="Saúde" localSheetId="12">Tipos_de_Gastos[SAÚDE]</definedName>
    <definedName name="Saúde" localSheetId="11">Tipos_de_Gastos[SAÚDE]</definedName>
    <definedName name="Saúde">Tipos_de_Gastos[SAÚDE]</definedName>
    <definedName name="ServiçosEssenciais" localSheetId="6">Tipos_de_Gastos[SERVIÇOS ESSENCIAIS]</definedName>
    <definedName name="ServiçosEssenciais" localSheetId="10">Tipos_de_Gastos[SERVIÇOS ESSENCIAIS]</definedName>
    <definedName name="ServiçosEssenciais" localSheetId="14">Tipos_de_Gastos[SERVIÇOS ESSENCIAIS]</definedName>
    <definedName name="ServiçosEssenciais" localSheetId="4">Tipos_de_Gastos[SERVIÇOS ESSENCIAIS]</definedName>
    <definedName name="ServiçosEssenciais" localSheetId="3">Tipos_de_Gastos[SERVIÇOS ESSENCIAIS]</definedName>
    <definedName name="ServiçosEssenciais" localSheetId="9">Tipos_de_Gastos[SERVIÇOS ESSENCIAIS]</definedName>
    <definedName name="ServiçosEssenciais" localSheetId="8">Tipos_de_Gastos[SERVIÇOS ESSENCIAIS]</definedName>
    <definedName name="ServiçosEssenciais" localSheetId="7">Tipos_de_Gastos[SERVIÇOS ESSENCIAIS]</definedName>
    <definedName name="ServiçosEssenciais" localSheetId="5">Tipos_de_Gastos[SERVIÇOS ESSENCIAIS]</definedName>
    <definedName name="ServiçosEssenciais" localSheetId="13">Tipos_de_Gastos[SERVIÇOS ESSENCIAIS]</definedName>
    <definedName name="ServiçosEssenciais" localSheetId="12">Tipos_de_Gastos[SERVIÇOS ESSENCIAIS]</definedName>
    <definedName name="ServiçosEssenciais" localSheetId="11">Tipos_de_Gastos[SERVIÇOS ESSENCIAIS]</definedName>
    <definedName name="ServiçosEssenciais">Tipos_de_Gastos[SERVIÇOS ESSENCIAIS]</definedName>
    <definedName name="Tipos" localSheetId="6">Tipos_de_Gastos[#Headers]</definedName>
    <definedName name="Tipos" localSheetId="10">Tipos_de_Gastos[#Headers]</definedName>
    <definedName name="Tipos" localSheetId="14">Tipos_de_Gastos[#Headers]</definedName>
    <definedName name="Tipos" localSheetId="4">Tipos_de_Gastos[#Headers]</definedName>
    <definedName name="Tipos" localSheetId="3">Tipos_de_Gastos[#Headers]</definedName>
    <definedName name="Tipos" localSheetId="9">Tipos_de_Gastos[#Headers]</definedName>
    <definedName name="Tipos" localSheetId="8">Tipos_de_Gastos[#Headers]</definedName>
    <definedName name="Tipos" localSheetId="7">Tipos_de_Gastos[#Headers]</definedName>
    <definedName name="Tipos" localSheetId="5">Tipos_de_Gastos[#Headers]</definedName>
    <definedName name="Tipos" localSheetId="13">Tipos_de_Gastos[#Headers]</definedName>
    <definedName name="Tipos" localSheetId="12">Tipos_de_Gastos[#Headers]</definedName>
    <definedName name="Tipos" localSheetId="11">Tipos_de_Gastos[#Headers]</definedName>
    <definedName name="Tipos">Tipos_de_Gastos[#Headers]</definedName>
    <definedName name="Transporte" localSheetId="6">Tipos_de_Gastos[TRANSPORTE]</definedName>
    <definedName name="Transporte" localSheetId="10">Tipos_de_Gastos[TRANSPORTE]</definedName>
    <definedName name="Transporte" localSheetId="14">Tipos_de_Gastos[TRANSPORTE]</definedName>
    <definedName name="Transporte" localSheetId="4">Tipos_de_Gastos[TRANSPORTE]</definedName>
    <definedName name="Transporte" localSheetId="3">Tipos_de_Gastos[TRANSPORTE]</definedName>
    <definedName name="Transporte" localSheetId="9">Tipos_de_Gastos[TRANSPORTE]</definedName>
    <definedName name="Transporte" localSheetId="8">Tipos_de_Gastos[TRANSPORTE]</definedName>
    <definedName name="Transporte" localSheetId="7">Tipos_de_Gastos[TRANSPORTE]</definedName>
    <definedName name="Transporte" localSheetId="5">Tipos_de_Gastos[TRANSPORTE]</definedName>
    <definedName name="Transporte" localSheetId="13">Tipos_de_Gastos[TRANSPORTE]</definedName>
    <definedName name="Transporte" localSheetId="12">Tipos_de_Gastos[TRANSPORTE]</definedName>
    <definedName name="Transporte" localSheetId="11">Tipos_de_Gastos[TRANSPORTE]</definedName>
    <definedName name="Transporte">Tipos_de_Gastos[TRANSPORTE]</definedName>
    <definedName name="Vestuário" localSheetId="6">Tipos_de_Gastos[VESTUÁRIO]</definedName>
    <definedName name="Vestuário" localSheetId="10">Tipos_de_Gastos[VESTUÁRIO]</definedName>
    <definedName name="Vestuário" localSheetId="14">Tipos_de_Gastos[VESTUÁRIO]</definedName>
    <definedName name="Vestuário" localSheetId="4">Tipos_de_Gastos[VESTUÁRIO]</definedName>
    <definedName name="Vestuário" localSheetId="3">Tipos_de_Gastos[VESTUÁRIO]</definedName>
    <definedName name="Vestuário" localSheetId="9">Tipos_de_Gastos[VESTUÁRIO]</definedName>
    <definedName name="Vestuário" localSheetId="8">Tipos_de_Gastos[VESTUÁRIO]</definedName>
    <definedName name="Vestuário" localSheetId="7">Tipos_de_Gastos[VESTUÁRIO]</definedName>
    <definedName name="Vestuário" localSheetId="5">Tipos_de_Gastos[VESTUÁRIO]</definedName>
    <definedName name="Vestuário" localSheetId="13">Tipos_de_Gastos[VESTUÁRIO]</definedName>
    <definedName name="Vestuário" localSheetId="12">Tipos_de_Gastos[VESTUÁRIO]</definedName>
    <definedName name="Vestuário" localSheetId="11">Tipos_de_Gastos[VESTUÁRIO]</definedName>
    <definedName name="Vestuário">Tipos_de_Gastos[VESTUÁRIO]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52" l="1"/>
  <c r="E33" i="52"/>
  <c r="E40" i="52" s="1"/>
  <c r="N8" i="4" s="1"/>
  <c r="F24" i="52"/>
  <c r="E24" i="52"/>
  <c r="E39" i="52" s="1"/>
  <c r="B23" i="52"/>
  <c r="B22" i="52"/>
  <c r="B21" i="52"/>
  <c r="B20" i="52"/>
  <c r="F16" i="52"/>
  <c r="E16" i="52"/>
  <c r="E38" i="52" s="1"/>
  <c r="E7" i="52"/>
  <c r="N6" i="4" s="1"/>
  <c r="F33" i="51"/>
  <c r="E33" i="51"/>
  <c r="E40" i="51" s="1"/>
  <c r="M8" i="4" s="1"/>
  <c r="F24" i="51"/>
  <c r="E24" i="51"/>
  <c r="E39" i="51" s="1"/>
  <c r="B23" i="51"/>
  <c r="B22" i="51"/>
  <c r="B21" i="51"/>
  <c r="B20" i="51"/>
  <c r="F16" i="51"/>
  <c r="E16" i="51"/>
  <c r="E38" i="51" s="1"/>
  <c r="E7" i="51"/>
  <c r="E37" i="51" s="1"/>
  <c r="F33" i="50"/>
  <c r="E33" i="50"/>
  <c r="E40" i="50" s="1"/>
  <c r="L8" i="4" s="1"/>
  <c r="F24" i="50"/>
  <c r="E24" i="50"/>
  <c r="E39" i="50" s="1"/>
  <c r="B23" i="50"/>
  <c r="B22" i="50"/>
  <c r="B21" i="50"/>
  <c r="B20" i="50"/>
  <c r="F16" i="50"/>
  <c r="E16" i="50"/>
  <c r="E38" i="50" s="1"/>
  <c r="E7" i="50"/>
  <c r="L6" i="4" s="1"/>
  <c r="E38" i="49"/>
  <c r="F33" i="49"/>
  <c r="E33" i="49"/>
  <c r="E40" i="49" s="1"/>
  <c r="K8" i="4" s="1"/>
  <c r="F24" i="49"/>
  <c r="E24" i="49"/>
  <c r="E39" i="49" s="1"/>
  <c r="B23" i="49"/>
  <c r="B22" i="49"/>
  <c r="B21" i="49"/>
  <c r="B20" i="49"/>
  <c r="F16" i="49"/>
  <c r="E16" i="49"/>
  <c r="E7" i="49"/>
  <c r="E37" i="49" s="1"/>
  <c r="F33" i="48"/>
  <c r="E33" i="48"/>
  <c r="E40" i="48" s="1"/>
  <c r="J8" i="4" s="1"/>
  <c r="F24" i="48"/>
  <c r="E24" i="48"/>
  <c r="E39" i="48" s="1"/>
  <c r="B23" i="48"/>
  <c r="B22" i="48"/>
  <c r="B21" i="48"/>
  <c r="B20" i="48"/>
  <c r="F16" i="48"/>
  <c r="E16" i="48"/>
  <c r="E38" i="48" s="1"/>
  <c r="E7" i="48"/>
  <c r="E37" i="48" s="1"/>
  <c r="F33" i="47"/>
  <c r="E33" i="47"/>
  <c r="E40" i="47" s="1"/>
  <c r="I8" i="4" s="1"/>
  <c r="F24" i="47"/>
  <c r="E24" i="47"/>
  <c r="E39" i="47" s="1"/>
  <c r="B23" i="47"/>
  <c r="B22" i="47"/>
  <c r="B21" i="47"/>
  <c r="B20" i="47"/>
  <c r="F16" i="47"/>
  <c r="E16" i="47"/>
  <c r="E38" i="47" s="1"/>
  <c r="I7" i="4" s="1"/>
  <c r="E7" i="47"/>
  <c r="I6" i="4" s="1"/>
  <c r="F33" i="46"/>
  <c r="E33" i="46"/>
  <c r="E40" i="46" s="1"/>
  <c r="G8" i="4" s="1"/>
  <c r="F24" i="46"/>
  <c r="E24" i="46"/>
  <c r="E39" i="46" s="1"/>
  <c r="B23" i="46"/>
  <c r="B22" i="46"/>
  <c r="B21" i="46"/>
  <c r="B20" i="46"/>
  <c r="F16" i="46"/>
  <c r="E16" i="46"/>
  <c r="E38" i="46" s="1"/>
  <c r="E7" i="46"/>
  <c r="E37" i="46" s="1"/>
  <c r="E37" i="45"/>
  <c r="F33" i="45"/>
  <c r="E33" i="45"/>
  <c r="E40" i="45" s="1"/>
  <c r="H8" i="4" s="1"/>
  <c r="F24" i="45"/>
  <c r="E24" i="45"/>
  <c r="E39" i="45" s="1"/>
  <c r="B23" i="45"/>
  <c r="B22" i="45"/>
  <c r="B21" i="45"/>
  <c r="B20" i="45"/>
  <c r="F16" i="45"/>
  <c r="E16" i="45"/>
  <c r="E38" i="45" s="1"/>
  <c r="E7" i="45"/>
  <c r="H6" i="4" s="1"/>
  <c r="E38" i="44"/>
  <c r="F33" i="44"/>
  <c r="E33" i="44"/>
  <c r="E40" i="44" s="1"/>
  <c r="F8" i="4" s="1"/>
  <c r="F24" i="44"/>
  <c r="E24" i="44"/>
  <c r="E39" i="44" s="1"/>
  <c r="B23" i="44"/>
  <c r="B22" i="44"/>
  <c r="B21" i="44"/>
  <c r="B20" i="44"/>
  <c r="F16" i="44"/>
  <c r="E16" i="44"/>
  <c r="E7" i="44"/>
  <c r="F6" i="4" s="1"/>
  <c r="F33" i="43"/>
  <c r="E33" i="43"/>
  <c r="E40" i="43" s="1"/>
  <c r="F24" i="43"/>
  <c r="E24" i="43"/>
  <c r="E39" i="43" s="1"/>
  <c r="B23" i="43"/>
  <c r="B22" i="43"/>
  <c r="B21" i="43"/>
  <c r="B20" i="43"/>
  <c r="F16" i="43"/>
  <c r="E16" i="43"/>
  <c r="E38" i="43" s="1"/>
  <c r="E7" i="43"/>
  <c r="E37" i="43" s="1"/>
  <c r="F33" i="41"/>
  <c r="E33" i="41"/>
  <c r="E40" i="41" s="1"/>
  <c r="D8" i="4" s="1"/>
  <c r="F24" i="41"/>
  <c r="E24" i="41"/>
  <c r="E39" i="41" s="1"/>
  <c r="B23" i="41"/>
  <c r="B22" i="41"/>
  <c r="B21" i="41"/>
  <c r="B20" i="41"/>
  <c r="F16" i="41"/>
  <c r="E16" i="41"/>
  <c r="E38" i="41" s="1"/>
  <c r="E7" i="41"/>
  <c r="E37" i="41" s="1"/>
  <c r="E7" i="5"/>
  <c r="E37" i="5" s="1"/>
  <c r="E16" i="5"/>
  <c r="E38" i="5" s="1"/>
  <c r="F33" i="5"/>
  <c r="E33" i="5"/>
  <c r="E40" i="5" s="1"/>
  <c r="C8" i="4" s="1"/>
  <c r="F24" i="5"/>
  <c r="E24" i="5"/>
  <c r="E39" i="5" s="1"/>
  <c r="B23" i="5"/>
  <c r="B22" i="5"/>
  <c r="B21" i="5"/>
  <c r="B20" i="5"/>
  <c r="F16" i="5"/>
  <c r="D5" i="4"/>
  <c r="E5" i="4" s="1"/>
  <c r="F5" i="4" s="1"/>
  <c r="G5" i="4" s="1"/>
  <c r="H5" i="4" s="1"/>
  <c r="I5" i="4" s="1"/>
  <c r="J5" i="4" s="1"/>
  <c r="K5" i="4" s="1"/>
  <c r="L5" i="4" s="1"/>
  <c r="M5" i="4" s="1"/>
  <c r="N5" i="4" s="1"/>
  <c r="E7" i="1"/>
  <c r="E37" i="1" s="1"/>
  <c r="F33" i="1"/>
  <c r="E33" i="1"/>
  <c r="E40" i="1" s="1"/>
  <c r="F16" i="1"/>
  <c r="F24" i="1"/>
  <c r="B22" i="1"/>
  <c r="B23" i="1"/>
  <c r="B21" i="1"/>
  <c r="B20" i="1"/>
  <c r="E24" i="1"/>
  <c r="E39" i="1" s="1"/>
  <c r="E16" i="1"/>
  <c r="E38" i="1" s="1"/>
  <c r="D7" i="4" l="1"/>
  <c r="H7" i="4"/>
  <c r="G7" i="4"/>
  <c r="N7" i="4"/>
  <c r="E7" i="4"/>
  <c r="E37" i="44"/>
  <c r="E37" i="52"/>
  <c r="E37" i="50"/>
  <c r="J7" i="4"/>
  <c r="E41" i="51"/>
  <c r="J6" i="4"/>
  <c r="L7" i="4"/>
  <c r="M7" i="4"/>
  <c r="K6" i="4"/>
  <c r="G6" i="4"/>
  <c r="E37" i="47"/>
  <c r="K7" i="4"/>
  <c r="E6" i="4"/>
  <c r="D6" i="4"/>
  <c r="F7" i="4"/>
  <c r="M6" i="4"/>
  <c r="C6" i="4"/>
  <c r="E41" i="52"/>
  <c r="E41" i="50"/>
  <c r="E41" i="46"/>
  <c r="E41" i="48"/>
  <c r="E41" i="49"/>
  <c r="E41" i="47"/>
  <c r="E41" i="45"/>
  <c r="E41" i="44"/>
  <c r="E41" i="43"/>
  <c r="E8" i="4" s="1"/>
  <c r="E41" i="41"/>
  <c r="C7" i="4"/>
  <c r="E41" i="5"/>
  <c r="E41" i="1"/>
</calcChain>
</file>

<file path=xl/sharedStrings.xml><?xml version="1.0" encoding="utf-8"?>
<sst xmlns="http://schemas.openxmlformats.org/spreadsheetml/2006/main" count="692" uniqueCount="106">
  <si>
    <t>Aluguel</t>
  </si>
  <si>
    <t>Condomínio</t>
  </si>
  <si>
    <t>IPTU</t>
  </si>
  <si>
    <t>Consertos Domiciliares</t>
  </si>
  <si>
    <t>HABITAÇÃO</t>
  </si>
  <si>
    <t>SERVIÇOS ESSENCIAIS</t>
  </si>
  <si>
    <t>TRANSPORTE</t>
  </si>
  <si>
    <t>ALIMENTAÇÃO</t>
  </si>
  <si>
    <t>SAÚDE</t>
  </si>
  <si>
    <t>EDUCAÇÃO</t>
  </si>
  <si>
    <t>LAZER</t>
  </si>
  <si>
    <t>DESPESAS PESSOAIS</t>
  </si>
  <si>
    <t>OUTROS</t>
  </si>
  <si>
    <t>Presentes e Doações</t>
  </si>
  <si>
    <t>Taxas e Serviços Bancários</t>
  </si>
  <si>
    <t>Despesas com Animais de Estimação</t>
  </si>
  <si>
    <t>Outros</t>
  </si>
  <si>
    <t>Higiene Pessoal</t>
  </si>
  <si>
    <t>Salão de Beleza</t>
  </si>
  <si>
    <t>Academia</t>
  </si>
  <si>
    <t>Roupas</t>
  </si>
  <si>
    <t>Calçados</t>
  </si>
  <si>
    <t>Acessórios</t>
  </si>
  <si>
    <t>Cinema e Teatro</t>
  </si>
  <si>
    <t>Assinatura de Streaming</t>
  </si>
  <si>
    <t>Viagens e Passeios</t>
  </si>
  <si>
    <t>Mensalidade Escolar</t>
  </si>
  <si>
    <t>Material Escolar</t>
  </si>
  <si>
    <t>Cursos e Treinamentos</t>
  </si>
  <si>
    <t>Plano de Saúde</t>
  </si>
  <si>
    <t>Medicamentos</t>
  </si>
  <si>
    <t>Consultas Médicas</t>
  </si>
  <si>
    <t>Exames e Procedimentos</t>
  </si>
  <si>
    <t>Seguro de Vida</t>
  </si>
  <si>
    <t>Supermercado</t>
  </si>
  <si>
    <t>Refeições Fora de Casa</t>
  </si>
  <si>
    <t>Delivery</t>
  </si>
  <si>
    <t>Combustível</t>
  </si>
  <si>
    <t>Transporte Público</t>
  </si>
  <si>
    <t>Manutenção do Veículo</t>
  </si>
  <si>
    <t>Seguro do Veículo</t>
  </si>
  <si>
    <t>Financiamento do Veículo</t>
  </si>
  <si>
    <t>Água</t>
  </si>
  <si>
    <t>Energia Elétrica</t>
  </si>
  <si>
    <t>Internet</t>
  </si>
  <si>
    <t>Gás</t>
  </si>
  <si>
    <t>Telefone</t>
  </si>
  <si>
    <t>TV a Cabo</t>
  </si>
  <si>
    <t>VESTUÁRIO</t>
  </si>
  <si>
    <t>Gastos Fixos</t>
  </si>
  <si>
    <t>Data</t>
  </si>
  <si>
    <t>Nome</t>
  </si>
  <si>
    <t>Tipo</t>
  </si>
  <si>
    <t>Valor</t>
  </si>
  <si>
    <t>Pago?</t>
  </si>
  <si>
    <t>Sim</t>
  </si>
  <si>
    <t>Não</t>
  </si>
  <si>
    <t>Habitação</t>
  </si>
  <si>
    <t>Luz</t>
  </si>
  <si>
    <t>Total</t>
  </si>
  <si>
    <t>INVESTIMENTOS</t>
  </si>
  <si>
    <t>Reserva de Emergência</t>
  </si>
  <si>
    <t>Outros Investimentos</t>
  </si>
  <si>
    <t>Gastos Variados Essenciais</t>
  </si>
  <si>
    <t>Fixos</t>
  </si>
  <si>
    <t>Varíados Essenciais</t>
  </si>
  <si>
    <t>Alimentação</t>
  </si>
  <si>
    <t>Gastos Variados Não Essenciais</t>
  </si>
  <si>
    <t>Presentes</t>
  </si>
  <si>
    <t>Cinema</t>
  </si>
  <si>
    <t>Cartão de Credito</t>
  </si>
  <si>
    <t>Varíados Não Essenciais</t>
  </si>
  <si>
    <t>Entrada de Renda</t>
  </si>
  <si>
    <t>Tipos de Entrada de Renda</t>
  </si>
  <si>
    <t>Renda Extra</t>
  </si>
  <si>
    <t>Dividendos</t>
  </si>
  <si>
    <t>Renda Principal</t>
  </si>
  <si>
    <t>Renda Secundária</t>
  </si>
  <si>
    <t>Renda Terciária</t>
  </si>
  <si>
    <t>Salário</t>
  </si>
  <si>
    <t>Resumo Geral</t>
  </si>
  <si>
    <t>Entrada ou Saída</t>
  </si>
  <si>
    <t>Valor Inicial</t>
  </si>
  <si>
    <t>Restante</t>
  </si>
  <si>
    <t xml:space="preserve"> </t>
  </si>
  <si>
    <t>MÊS/ANO</t>
  </si>
  <si>
    <t>Variados Essenciais</t>
  </si>
  <si>
    <t>Variados Não Essenciais</t>
  </si>
  <si>
    <t>RESUMO ANUAL</t>
  </si>
  <si>
    <t>Renda Total</t>
  </si>
  <si>
    <t>Gastos Totais</t>
  </si>
  <si>
    <t>Gastos Não Essenciais</t>
  </si>
  <si>
    <t>JAN_2024</t>
  </si>
  <si>
    <t>FEV_2024</t>
  </si>
  <si>
    <t>MAI_2024</t>
  </si>
  <si>
    <t>JUN_2024</t>
  </si>
  <si>
    <t>ABR_2024</t>
  </si>
  <si>
    <t>MAR_2024</t>
  </si>
  <si>
    <t>JUL_2024</t>
  </si>
  <si>
    <t>AGO_2024</t>
  </si>
  <si>
    <t>SET_2024</t>
  </si>
  <si>
    <t>OUT_2024</t>
  </si>
  <si>
    <t>NOV_2024</t>
  </si>
  <si>
    <t>DEZ_2024</t>
  </si>
  <si>
    <t xml:space="preserve">Disponível em: </t>
  </si>
  <si>
    <t>github.com/mayconmanini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</si>
</sst>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R$-416]\ * #,##0.00_-;\-[$R$-416]\ * #,##0.00_-;_-[$R$-416]\ * &quot;-&quot;??_-;_-@_-"/>
    <numFmt numFmtId="165" formatCode="[$-416]mmm\-yy;@"/>
    <numFmt numFmtId="166" formatCode="[$-F800]dddd\,\ mmmm\ dd\,\ yyyy"/>
  </numFmts>
  <fonts count="5" x14ac:knownFonts="1">
    <font>
      <sz val="11"/>
      <color theme="1"/>
      <name val="Calibri"/>
      <family val="2"/>
      <scheme val="minor"/>
    </font>
    <font>
      <b/>
      <i/>
      <sz val="12"/>
      <color rgb="FFFF00FF"/>
      <name val="Arial"/>
      <family val="2"/>
    </font>
    <font>
      <sz val="20"/>
      <color theme="1"/>
      <name val="Calibri"/>
      <family val="2"/>
      <scheme val="minor"/>
    </font>
    <font>
      <sz val="2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E79B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wrapText="1" shrinkToFit="1"/>
    </xf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8" xfId="0" applyFill="1" applyBorder="1"/>
    <xf numFmtId="0" fontId="0" fillId="3" borderId="0" xfId="0" applyFill="1"/>
    <xf numFmtId="14" fontId="0" fillId="3" borderId="0" xfId="0" applyNumberFormat="1" applyFill="1"/>
    <xf numFmtId="164" fontId="0" fillId="3" borderId="0" xfId="0" applyNumberFormat="1" applyFill="1"/>
    <xf numFmtId="0" fontId="0" fillId="2" borderId="0" xfId="0" applyFill="1"/>
    <xf numFmtId="0" fontId="0" fillId="2" borderId="2" xfId="0" applyFill="1" applyBorder="1"/>
    <xf numFmtId="0" fontId="0" fillId="2" borderId="7" xfId="0" applyFill="1" applyBorder="1"/>
    <xf numFmtId="14" fontId="0" fillId="2" borderId="0" xfId="0" applyNumberFormat="1" applyFill="1"/>
    <xf numFmtId="164" fontId="0" fillId="4" borderId="0" xfId="0" applyNumberFormat="1" applyFill="1"/>
    <xf numFmtId="164" fontId="0" fillId="5" borderId="0" xfId="0" applyNumberFormat="1" applyFill="1"/>
    <xf numFmtId="164" fontId="0" fillId="6" borderId="0" xfId="0" applyNumberFormat="1" applyFill="1"/>
    <xf numFmtId="0" fontId="2" fillId="0" borderId="0" xfId="0" applyFont="1"/>
    <xf numFmtId="0" fontId="2" fillId="7" borderId="16" xfId="0" applyFont="1" applyFill="1" applyBorder="1"/>
    <xf numFmtId="0" fontId="2" fillId="7" borderId="0" xfId="0" applyFont="1" applyFill="1"/>
    <xf numFmtId="0" fontId="2" fillId="7" borderId="17" xfId="0" applyFont="1" applyFill="1" applyBorder="1"/>
    <xf numFmtId="0" fontId="2" fillId="7" borderId="18" xfId="0" applyFont="1" applyFill="1" applyBorder="1"/>
    <xf numFmtId="165" fontId="2" fillId="3" borderId="9" xfId="0" applyNumberFormat="1" applyFont="1" applyFill="1" applyBorder="1"/>
    <xf numFmtId="0" fontId="2" fillId="7" borderId="19" xfId="0" applyFont="1" applyFill="1" applyBorder="1"/>
    <xf numFmtId="0" fontId="2" fillId="3" borderId="18" xfId="0" applyFont="1" applyFill="1" applyBorder="1"/>
    <xf numFmtId="0" fontId="2" fillId="3" borderId="9" xfId="0" applyFont="1" applyFill="1" applyBorder="1"/>
    <xf numFmtId="0" fontId="2" fillId="3" borderId="19" xfId="0" applyFont="1" applyFill="1" applyBorder="1"/>
    <xf numFmtId="0" fontId="2" fillId="7" borderId="13" xfId="0" applyFont="1" applyFill="1" applyBorder="1"/>
    <xf numFmtId="0" fontId="2" fillId="7" borderId="14" xfId="0" applyFont="1" applyFill="1" applyBorder="1"/>
    <xf numFmtId="0" fontId="2" fillId="7" borderId="15" xfId="0" applyFont="1" applyFill="1" applyBorder="1"/>
    <xf numFmtId="166" fontId="2" fillId="0" borderId="0" xfId="0" applyNumberFormat="1" applyFont="1"/>
    <xf numFmtId="0" fontId="3" fillId="7" borderId="10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7" borderId="17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4" fillId="0" borderId="0" xfId="1" applyAlignment="1">
      <alignment horizontal="left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Hiperlink" xfId="1" builtinId="8"/>
    <cellStyle name="Normal" xfId="0" builtinId="0"/>
  </cellStyles>
  <dxfs count="482">
    <dxf>
      <numFmt numFmtId="0" formatCode="General"/>
      <alignment horizontal="general" vertical="bottom" textRotation="0" wrapText="1" indent="0" justifyLastLine="0" shrinkToFit="1" readingOrder="0"/>
    </dxf>
    <dxf>
      <alignment horizontal="general" vertical="bottom" textRotation="0" wrapText="1" indent="0" justifyLastLine="0" shrinkToFit="1" readingOrder="0"/>
    </dxf>
    <dxf>
      <alignment horizontal="general" vertical="bottom" textRotation="0" wrapText="1" indent="0" justifyLastLine="0" shrinkToFit="1" readingOrder="0"/>
    </dxf>
    <dxf>
      <alignment horizontal="general" vertical="bottom" textRotation="0" wrapText="1" indent="0" justifyLastLine="0" shrinkToFit="1" readingOrder="0"/>
    </dxf>
    <dxf>
      <alignment horizontal="general" vertical="bottom" textRotation="0" wrapText="1" indent="0" justifyLastLine="0" shrinkToFit="1" readingOrder="0"/>
    </dxf>
    <dxf>
      <alignment horizontal="general" vertical="bottom" textRotation="0" wrapText="1" indent="0" justifyLastLine="0" shrinkToFit="1" readingOrder="0"/>
    </dxf>
    <dxf>
      <alignment horizontal="general" vertical="bottom" textRotation="0" wrapText="1" indent="0" justifyLastLine="0" shrinkToFit="1" readingOrder="0"/>
    </dxf>
    <dxf>
      <alignment horizontal="general" vertical="bottom" textRotation="0" wrapText="1" indent="0" justifyLastLine="0" shrinkToFit="1" readingOrder="0"/>
    </dxf>
    <dxf>
      <alignment horizontal="general" vertical="bottom" textRotation="0" wrapText="1" indent="0" justifyLastLine="0" shrinkToFit="1" readingOrder="0"/>
    </dxf>
    <dxf>
      <alignment horizontal="general" vertical="bottom" textRotation="0" wrapText="1" indent="0" justifyLastLine="0" shrinkToFit="1" readingOrder="0"/>
    </dxf>
    <dxf>
      <alignment horizontal="general" vertical="bottom" textRotation="0" wrapText="1" indent="0" justifyLastLine="0" shrinkToFit="1" readingOrder="0"/>
    </dxf>
    <dxf>
      <alignment horizontal="general" vertical="bottom" textRotation="0" wrapText="1" indent="0" justifyLastLine="0" shrinkToFit="1" readingOrder="0"/>
    </dxf>
    <dxf>
      <alignment horizontal="general" vertical="bottom" textRotation="0" wrapText="1" indent="0" justifyLastLine="0" shrinkToFit="1" readingOrder="0"/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fill>
        <patternFill patternType="none">
          <fgColor indexed="64"/>
          <bgColor auto="1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font>
        <b val="0"/>
        <i val="0"/>
        <u val="double"/>
        <color auto="1"/>
      </font>
      <fill>
        <patternFill patternType="solid">
          <bgColor rgb="FFFFFF00"/>
        </patternFill>
      </fill>
    </dxf>
    <dxf>
      <font>
        <u val="double"/>
      </font>
      <fill>
        <patternFill>
          <bgColor rgb="FF92D050"/>
        </patternFill>
      </fill>
    </dxf>
    <dxf>
      <fill>
        <patternFill patternType="solid">
          <bgColor rgb="FFCC99FF"/>
        </patternFill>
      </fill>
    </dxf>
    <dxf>
      <fill>
        <patternFill>
          <bgColor rgb="FFFFFF66"/>
        </patternFill>
      </fill>
    </dxf>
    <dxf>
      <fill>
        <patternFill>
          <bgColor rgb="FFFFCC66"/>
        </patternFill>
      </fill>
    </dxf>
    <dxf>
      <fill>
        <patternFill>
          <bgColor rgb="FFFF7C8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66FFCC"/>
        </patternFill>
      </fill>
    </dxf>
    <dxf>
      <fill>
        <patternFill>
          <bgColor rgb="FFCC99FF"/>
        </patternFill>
      </fill>
    </dxf>
    <dxf>
      <fill>
        <patternFill>
          <bgColor rgb="FF00FF99"/>
        </patternFill>
      </fill>
    </dxf>
    <dxf>
      <fill>
        <patternFill>
          <bgColor rgb="FFB2B2B2"/>
        </patternFill>
      </fill>
    </dxf>
    <dxf>
      <fill>
        <patternFill>
          <bgColor rgb="FFDAADA6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BC0000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fill>
        <patternFill patternType="none">
          <fgColor indexed="64"/>
          <bgColor auto="1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font>
        <b val="0"/>
        <i val="0"/>
        <u val="double"/>
        <color auto="1"/>
      </font>
      <fill>
        <patternFill patternType="solid">
          <bgColor rgb="FFFFFF00"/>
        </patternFill>
      </fill>
    </dxf>
    <dxf>
      <font>
        <u val="double"/>
      </font>
      <fill>
        <patternFill>
          <bgColor rgb="FF92D050"/>
        </patternFill>
      </fill>
    </dxf>
    <dxf>
      <fill>
        <patternFill patternType="solid">
          <bgColor rgb="FFCC99FF"/>
        </patternFill>
      </fill>
    </dxf>
    <dxf>
      <fill>
        <patternFill>
          <bgColor rgb="FFFFFF66"/>
        </patternFill>
      </fill>
    </dxf>
    <dxf>
      <fill>
        <patternFill>
          <bgColor rgb="FFFFCC66"/>
        </patternFill>
      </fill>
    </dxf>
    <dxf>
      <fill>
        <patternFill>
          <bgColor rgb="FFFF7C8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66FFCC"/>
        </patternFill>
      </fill>
    </dxf>
    <dxf>
      <fill>
        <patternFill>
          <bgColor rgb="FFCC99FF"/>
        </patternFill>
      </fill>
    </dxf>
    <dxf>
      <fill>
        <patternFill>
          <bgColor rgb="FF00FF99"/>
        </patternFill>
      </fill>
    </dxf>
    <dxf>
      <fill>
        <patternFill>
          <bgColor rgb="FFB2B2B2"/>
        </patternFill>
      </fill>
    </dxf>
    <dxf>
      <fill>
        <patternFill>
          <bgColor rgb="FFDAADA6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BC0000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fill>
        <patternFill patternType="none">
          <fgColor indexed="64"/>
          <bgColor auto="1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font>
        <b val="0"/>
        <i val="0"/>
        <u val="double"/>
        <color auto="1"/>
      </font>
      <fill>
        <patternFill patternType="solid">
          <bgColor rgb="FFFFFF00"/>
        </patternFill>
      </fill>
    </dxf>
    <dxf>
      <font>
        <u val="double"/>
      </font>
      <fill>
        <patternFill>
          <bgColor rgb="FF92D050"/>
        </patternFill>
      </fill>
    </dxf>
    <dxf>
      <fill>
        <patternFill patternType="solid">
          <bgColor rgb="FFCC99FF"/>
        </patternFill>
      </fill>
    </dxf>
    <dxf>
      <fill>
        <patternFill>
          <bgColor rgb="FFFFFF66"/>
        </patternFill>
      </fill>
    </dxf>
    <dxf>
      <fill>
        <patternFill>
          <bgColor rgb="FFFFCC66"/>
        </patternFill>
      </fill>
    </dxf>
    <dxf>
      <fill>
        <patternFill>
          <bgColor rgb="FFFF7C8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66FFCC"/>
        </patternFill>
      </fill>
    </dxf>
    <dxf>
      <fill>
        <patternFill>
          <bgColor rgb="FFCC99FF"/>
        </patternFill>
      </fill>
    </dxf>
    <dxf>
      <fill>
        <patternFill>
          <bgColor rgb="FF00FF99"/>
        </patternFill>
      </fill>
    </dxf>
    <dxf>
      <fill>
        <patternFill>
          <bgColor rgb="FFB2B2B2"/>
        </patternFill>
      </fill>
    </dxf>
    <dxf>
      <fill>
        <patternFill>
          <bgColor rgb="FFDAADA6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BC0000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fill>
        <patternFill patternType="none">
          <fgColor indexed="64"/>
          <bgColor auto="1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font>
        <b val="0"/>
        <i val="0"/>
        <u val="double"/>
        <color auto="1"/>
      </font>
      <fill>
        <patternFill patternType="solid">
          <bgColor rgb="FFFFFF00"/>
        </patternFill>
      </fill>
    </dxf>
    <dxf>
      <font>
        <u val="double"/>
      </font>
      <fill>
        <patternFill>
          <bgColor rgb="FF92D050"/>
        </patternFill>
      </fill>
    </dxf>
    <dxf>
      <fill>
        <patternFill patternType="solid">
          <bgColor rgb="FFCC99FF"/>
        </patternFill>
      </fill>
    </dxf>
    <dxf>
      <fill>
        <patternFill>
          <bgColor rgb="FFFFFF66"/>
        </patternFill>
      </fill>
    </dxf>
    <dxf>
      <fill>
        <patternFill>
          <bgColor rgb="FFFFCC66"/>
        </patternFill>
      </fill>
    </dxf>
    <dxf>
      <fill>
        <patternFill>
          <bgColor rgb="FFFF7C8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66FFCC"/>
        </patternFill>
      </fill>
    </dxf>
    <dxf>
      <fill>
        <patternFill>
          <bgColor rgb="FFCC99FF"/>
        </patternFill>
      </fill>
    </dxf>
    <dxf>
      <fill>
        <patternFill>
          <bgColor rgb="FF00FF99"/>
        </patternFill>
      </fill>
    </dxf>
    <dxf>
      <fill>
        <patternFill>
          <bgColor rgb="FFB2B2B2"/>
        </patternFill>
      </fill>
    </dxf>
    <dxf>
      <fill>
        <patternFill>
          <bgColor rgb="FFDAADA6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BC0000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fill>
        <patternFill patternType="none">
          <fgColor indexed="64"/>
          <bgColor auto="1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font>
        <b val="0"/>
        <i val="0"/>
        <u val="double"/>
        <color auto="1"/>
      </font>
      <fill>
        <patternFill patternType="solid">
          <bgColor rgb="FFFFFF00"/>
        </patternFill>
      </fill>
    </dxf>
    <dxf>
      <font>
        <u val="double"/>
      </font>
      <fill>
        <patternFill>
          <bgColor rgb="FF92D050"/>
        </patternFill>
      </fill>
    </dxf>
    <dxf>
      <fill>
        <patternFill patternType="solid">
          <bgColor rgb="FFCC99FF"/>
        </patternFill>
      </fill>
    </dxf>
    <dxf>
      <fill>
        <patternFill>
          <bgColor rgb="FFFFFF66"/>
        </patternFill>
      </fill>
    </dxf>
    <dxf>
      <fill>
        <patternFill>
          <bgColor rgb="FFFFCC66"/>
        </patternFill>
      </fill>
    </dxf>
    <dxf>
      <fill>
        <patternFill>
          <bgColor rgb="FFFF7C8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66FFCC"/>
        </patternFill>
      </fill>
    </dxf>
    <dxf>
      <fill>
        <patternFill>
          <bgColor rgb="FFCC99FF"/>
        </patternFill>
      </fill>
    </dxf>
    <dxf>
      <fill>
        <patternFill>
          <bgColor rgb="FF00FF99"/>
        </patternFill>
      </fill>
    </dxf>
    <dxf>
      <fill>
        <patternFill>
          <bgColor rgb="FFB2B2B2"/>
        </patternFill>
      </fill>
    </dxf>
    <dxf>
      <fill>
        <patternFill>
          <bgColor rgb="FFDAADA6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BC0000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fill>
        <patternFill patternType="none">
          <fgColor indexed="64"/>
          <bgColor auto="1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font>
        <b val="0"/>
        <i val="0"/>
        <u val="double"/>
        <color auto="1"/>
      </font>
      <fill>
        <patternFill patternType="solid">
          <bgColor rgb="FFFFFF00"/>
        </patternFill>
      </fill>
    </dxf>
    <dxf>
      <font>
        <u val="double"/>
      </font>
      <fill>
        <patternFill>
          <bgColor rgb="FF92D050"/>
        </patternFill>
      </fill>
    </dxf>
    <dxf>
      <fill>
        <patternFill patternType="solid">
          <bgColor rgb="FFCC99FF"/>
        </patternFill>
      </fill>
    </dxf>
    <dxf>
      <fill>
        <patternFill>
          <bgColor rgb="FFFFFF66"/>
        </patternFill>
      </fill>
    </dxf>
    <dxf>
      <fill>
        <patternFill>
          <bgColor rgb="FFFFCC66"/>
        </patternFill>
      </fill>
    </dxf>
    <dxf>
      <fill>
        <patternFill>
          <bgColor rgb="FFFF7C8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66FFCC"/>
        </patternFill>
      </fill>
    </dxf>
    <dxf>
      <fill>
        <patternFill>
          <bgColor rgb="FFCC99FF"/>
        </patternFill>
      </fill>
    </dxf>
    <dxf>
      <fill>
        <patternFill>
          <bgColor rgb="FF00FF99"/>
        </patternFill>
      </fill>
    </dxf>
    <dxf>
      <fill>
        <patternFill>
          <bgColor rgb="FFB2B2B2"/>
        </patternFill>
      </fill>
    </dxf>
    <dxf>
      <fill>
        <patternFill>
          <bgColor rgb="FFDAADA6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BC0000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fill>
        <patternFill patternType="none">
          <fgColor indexed="64"/>
          <bgColor auto="1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font>
        <b val="0"/>
        <i val="0"/>
        <u val="double"/>
        <color auto="1"/>
      </font>
      <fill>
        <patternFill patternType="solid">
          <bgColor rgb="FFFFFF00"/>
        </patternFill>
      </fill>
    </dxf>
    <dxf>
      <font>
        <u val="double"/>
      </font>
      <fill>
        <patternFill>
          <bgColor rgb="FF92D050"/>
        </patternFill>
      </fill>
    </dxf>
    <dxf>
      <fill>
        <patternFill patternType="solid">
          <bgColor rgb="FFCC99FF"/>
        </patternFill>
      </fill>
    </dxf>
    <dxf>
      <fill>
        <patternFill>
          <bgColor rgb="FFFFFF66"/>
        </patternFill>
      </fill>
    </dxf>
    <dxf>
      <fill>
        <patternFill>
          <bgColor rgb="FFFFCC66"/>
        </patternFill>
      </fill>
    </dxf>
    <dxf>
      <fill>
        <patternFill>
          <bgColor rgb="FFFF7C8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66FFCC"/>
        </patternFill>
      </fill>
    </dxf>
    <dxf>
      <fill>
        <patternFill>
          <bgColor rgb="FFCC99FF"/>
        </patternFill>
      </fill>
    </dxf>
    <dxf>
      <fill>
        <patternFill>
          <bgColor rgb="FF00FF99"/>
        </patternFill>
      </fill>
    </dxf>
    <dxf>
      <fill>
        <patternFill>
          <bgColor rgb="FFB2B2B2"/>
        </patternFill>
      </fill>
    </dxf>
    <dxf>
      <fill>
        <patternFill>
          <bgColor rgb="FFDAADA6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BC0000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fill>
        <patternFill patternType="none">
          <fgColor indexed="64"/>
          <bgColor auto="1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font>
        <b val="0"/>
        <i val="0"/>
        <u val="double"/>
        <color auto="1"/>
      </font>
      <fill>
        <patternFill patternType="solid">
          <bgColor rgb="FFFFFF00"/>
        </patternFill>
      </fill>
    </dxf>
    <dxf>
      <font>
        <u val="double"/>
      </font>
      <fill>
        <patternFill>
          <bgColor rgb="FF92D050"/>
        </patternFill>
      </fill>
    </dxf>
    <dxf>
      <fill>
        <patternFill patternType="solid">
          <bgColor rgb="FFCC99FF"/>
        </patternFill>
      </fill>
    </dxf>
    <dxf>
      <fill>
        <patternFill>
          <bgColor rgb="FFFFFF66"/>
        </patternFill>
      </fill>
    </dxf>
    <dxf>
      <fill>
        <patternFill>
          <bgColor rgb="FFFFCC66"/>
        </patternFill>
      </fill>
    </dxf>
    <dxf>
      <fill>
        <patternFill>
          <bgColor rgb="FFFF7C8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66FFCC"/>
        </patternFill>
      </fill>
    </dxf>
    <dxf>
      <fill>
        <patternFill>
          <bgColor rgb="FFCC99FF"/>
        </patternFill>
      </fill>
    </dxf>
    <dxf>
      <fill>
        <patternFill>
          <bgColor rgb="FF00FF99"/>
        </patternFill>
      </fill>
    </dxf>
    <dxf>
      <fill>
        <patternFill>
          <bgColor rgb="FFB2B2B2"/>
        </patternFill>
      </fill>
    </dxf>
    <dxf>
      <fill>
        <patternFill>
          <bgColor rgb="FFDAADA6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BC0000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fill>
        <patternFill patternType="none">
          <fgColor indexed="64"/>
          <bgColor auto="1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font>
        <b val="0"/>
        <i val="0"/>
        <u val="double"/>
        <color auto="1"/>
      </font>
      <fill>
        <patternFill patternType="solid">
          <bgColor rgb="FFFFFF00"/>
        </patternFill>
      </fill>
    </dxf>
    <dxf>
      <font>
        <u val="double"/>
      </font>
      <fill>
        <patternFill>
          <bgColor rgb="FF92D050"/>
        </patternFill>
      </fill>
    </dxf>
    <dxf>
      <fill>
        <patternFill patternType="solid">
          <bgColor rgb="FFCC99FF"/>
        </patternFill>
      </fill>
    </dxf>
    <dxf>
      <fill>
        <patternFill>
          <bgColor rgb="FFFFFF66"/>
        </patternFill>
      </fill>
    </dxf>
    <dxf>
      <fill>
        <patternFill>
          <bgColor rgb="FFFFCC66"/>
        </patternFill>
      </fill>
    </dxf>
    <dxf>
      <fill>
        <patternFill>
          <bgColor rgb="FFFF7C8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66FFCC"/>
        </patternFill>
      </fill>
    </dxf>
    <dxf>
      <fill>
        <patternFill>
          <bgColor rgb="FFCC99FF"/>
        </patternFill>
      </fill>
    </dxf>
    <dxf>
      <fill>
        <patternFill>
          <bgColor rgb="FF00FF99"/>
        </patternFill>
      </fill>
    </dxf>
    <dxf>
      <fill>
        <patternFill>
          <bgColor rgb="FFB2B2B2"/>
        </patternFill>
      </fill>
    </dxf>
    <dxf>
      <fill>
        <patternFill>
          <bgColor rgb="FFDAADA6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BC0000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fill>
        <patternFill patternType="none">
          <fgColor indexed="64"/>
          <bgColor auto="1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font>
        <b val="0"/>
        <i val="0"/>
        <u val="double"/>
        <color auto="1"/>
      </font>
      <fill>
        <patternFill patternType="solid">
          <bgColor rgb="FFFFFF00"/>
        </patternFill>
      </fill>
    </dxf>
    <dxf>
      <font>
        <u val="double"/>
      </font>
      <fill>
        <patternFill>
          <bgColor rgb="FF92D050"/>
        </patternFill>
      </fill>
    </dxf>
    <dxf>
      <fill>
        <patternFill patternType="solid">
          <bgColor rgb="FFCC99FF"/>
        </patternFill>
      </fill>
    </dxf>
    <dxf>
      <fill>
        <patternFill>
          <bgColor rgb="FFFFFF66"/>
        </patternFill>
      </fill>
    </dxf>
    <dxf>
      <fill>
        <patternFill>
          <bgColor rgb="FFFFCC66"/>
        </patternFill>
      </fill>
    </dxf>
    <dxf>
      <fill>
        <patternFill>
          <bgColor rgb="FFFF7C8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66FFCC"/>
        </patternFill>
      </fill>
    </dxf>
    <dxf>
      <fill>
        <patternFill>
          <bgColor rgb="FFCC99FF"/>
        </patternFill>
      </fill>
    </dxf>
    <dxf>
      <fill>
        <patternFill>
          <bgColor rgb="FF00FF99"/>
        </patternFill>
      </fill>
    </dxf>
    <dxf>
      <fill>
        <patternFill>
          <bgColor rgb="FFB2B2B2"/>
        </patternFill>
      </fill>
    </dxf>
    <dxf>
      <fill>
        <patternFill>
          <bgColor rgb="FFDAADA6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BC0000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fill>
        <patternFill patternType="none">
          <fgColor indexed="64"/>
          <bgColor auto="1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font>
        <b val="0"/>
        <i val="0"/>
        <u val="double"/>
        <color auto="1"/>
      </font>
      <fill>
        <patternFill patternType="solid">
          <bgColor rgb="FFFFFF00"/>
        </patternFill>
      </fill>
    </dxf>
    <dxf>
      <font>
        <u val="double"/>
      </font>
      <fill>
        <patternFill>
          <bgColor rgb="FF92D050"/>
        </patternFill>
      </fill>
    </dxf>
    <dxf>
      <fill>
        <patternFill patternType="solid">
          <bgColor rgb="FFCC99FF"/>
        </patternFill>
      </fill>
    </dxf>
    <dxf>
      <fill>
        <patternFill>
          <bgColor rgb="FFFFFF66"/>
        </patternFill>
      </fill>
    </dxf>
    <dxf>
      <fill>
        <patternFill>
          <bgColor rgb="FFFFCC66"/>
        </patternFill>
      </fill>
    </dxf>
    <dxf>
      <fill>
        <patternFill>
          <bgColor rgb="FFFF7C8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66FFCC"/>
        </patternFill>
      </fill>
    </dxf>
    <dxf>
      <fill>
        <patternFill>
          <bgColor rgb="FFCC99FF"/>
        </patternFill>
      </fill>
    </dxf>
    <dxf>
      <fill>
        <patternFill>
          <bgColor rgb="FF00FF99"/>
        </patternFill>
      </fill>
    </dxf>
    <dxf>
      <fill>
        <patternFill>
          <bgColor rgb="FFB2B2B2"/>
        </patternFill>
      </fill>
    </dxf>
    <dxf>
      <fill>
        <patternFill>
          <bgColor rgb="FFDAADA6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BC0000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rgb="FF000000"/>
          <bgColor rgb="FFE7E6E6"/>
        </patternFill>
      </fill>
    </dxf>
    <dxf>
      <fill>
        <patternFill patternType="none">
          <fgColor indexed="64"/>
          <bgColor auto="1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font>
        <b val="0"/>
        <i val="0"/>
        <u val="double"/>
        <color auto="1"/>
      </font>
      <fill>
        <patternFill patternType="solid">
          <bgColor rgb="FFFFFF00"/>
        </patternFill>
      </fill>
    </dxf>
    <dxf>
      <font>
        <u val="double"/>
      </font>
      <fill>
        <patternFill>
          <bgColor rgb="FF92D050"/>
        </patternFill>
      </fill>
    </dxf>
    <dxf>
      <fill>
        <patternFill patternType="solid">
          <bgColor rgb="FFCC99FF"/>
        </patternFill>
      </fill>
    </dxf>
    <dxf>
      <fill>
        <patternFill>
          <bgColor rgb="FFFFFF66"/>
        </patternFill>
      </fill>
    </dxf>
    <dxf>
      <fill>
        <patternFill>
          <bgColor rgb="FFFFCC66"/>
        </patternFill>
      </fill>
    </dxf>
    <dxf>
      <fill>
        <patternFill>
          <bgColor rgb="FFFF7C8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66FFCC"/>
        </patternFill>
      </fill>
    </dxf>
    <dxf>
      <fill>
        <patternFill>
          <bgColor rgb="FFCC99FF"/>
        </patternFill>
      </fill>
    </dxf>
    <dxf>
      <fill>
        <patternFill>
          <bgColor rgb="FF00FF99"/>
        </patternFill>
      </fill>
    </dxf>
    <dxf>
      <fill>
        <patternFill>
          <bgColor rgb="FFB2B2B2"/>
        </patternFill>
      </fill>
    </dxf>
    <dxf>
      <fill>
        <patternFill>
          <bgColor rgb="FFDAADA6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BC0000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none">
          <fgColor indexed="64"/>
          <bgColor auto="1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numFmt numFmtId="164" formatCode="_-[$R$-416]\ * #,##0.00_-;\-[$R$-416]\ * #,##0.00_-;_-[$R$-416]\ * &quot;-&quot;??_-;_-@_-"/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numFmt numFmtId="19" formatCode="dd/mm/yyyy"/>
      <fill>
        <patternFill patternType="solid">
          <fgColor indexed="64"/>
          <bgColor theme="2"/>
        </patternFill>
      </fill>
    </dxf>
    <dxf>
      <font>
        <b val="0"/>
        <i val="0"/>
        <u val="double"/>
        <color auto="1"/>
      </font>
      <fill>
        <patternFill patternType="solid">
          <bgColor rgb="FFFFFF00"/>
        </patternFill>
      </fill>
    </dxf>
    <dxf>
      <font>
        <u val="double"/>
      </font>
      <fill>
        <patternFill>
          <bgColor rgb="FF92D050"/>
        </patternFill>
      </fill>
    </dxf>
    <dxf>
      <fill>
        <patternFill patternType="solid">
          <bgColor rgb="FFCC99FF"/>
        </patternFill>
      </fill>
    </dxf>
    <dxf>
      <fill>
        <patternFill>
          <bgColor rgb="FFFFFF66"/>
        </patternFill>
      </fill>
    </dxf>
    <dxf>
      <fill>
        <patternFill>
          <bgColor rgb="FFFFCC66"/>
        </patternFill>
      </fill>
    </dxf>
    <dxf>
      <fill>
        <patternFill>
          <bgColor rgb="FFFF7C80"/>
        </patternFill>
      </fill>
    </dxf>
    <dxf>
      <fill>
        <patternFill>
          <bgColor rgb="FFCCFF33"/>
        </patternFill>
      </fill>
    </dxf>
    <dxf>
      <fill>
        <patternFill>
          <bgColor rgb="FF66FF66"/>
        </patternFill>
      </fill>
    </dxf>
    <dxf>
      <fill>
        <patternFill>
          <bgColor rgb="FF66FFCC"/>
        </patternFill>
      </fill>
    </dxf>
    <dxf>
      <fill>
        <patternFill>
          <bgColor rgb="FFCC99FF"/>
        </patternFill>
      </fill>
    </dxf>
    <dxf>
      <fill>
        <patternFill>
          <bgColor rgb="FF00FF99"/>
        </patternFill>
      </fill>
    </dxf>
    <dxf>
      <fill>
        <patternFill>
          <bgColor rgb="FFB2B2B2"/>
        </patternFill>
      </fill>
    </dxf>
    <dxf>
      <fill>
        <patternFill>
          <bgColor rgb="FFDAADA6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BC000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FF3FDA"/>
      <color rgb="FFFFE7FE"/>
      <color rgb="FFFFBDFC"/>
      <color rgb="FFFF00FF"/>
      <color rgb="FFCC99FF"/>
      <color rgb="FFCC00CC"/>
      <color rgb="FFFF4DFF"/>
      <color rgb="FFFF80FF"/>
      <color rgb="FFFFB3FF"/>
      <color rgb="FFE085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Como Sua Renda Está</a:t>
            </a:r>
            <a:r>
              <a:rPr lang="pt-BR" baseline="0"/>
              <a:t> Dividida</a:t>
            </a:r>
          </a:p>
          <a:p>
            <a:pPr>
              <a:defRPr/>
            </a:pPr>
            <a:endParaRPr lang="pt-BR"/>
          </a:p>
        </c:rich>
      </c:tx>
      <c:layout>
        <c:manualLayout>
          <c:xMode val="edge"/>
          <c:yMode val="edge"/>
          <c:x val="0.6074231619923914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817D-4358-8A79-19C7D461550C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17D-4358-8A79-19C7D461550C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17D-4358-8A79-19C7D461550C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17D-4358-8A79-19C7D461550C}"/>
              </c:ext>
            </c:extLst>
          </c:dPt>
          <c:dLbls>
            <c:dLbl>
              <c:idx val="0"/>
              <c:layout>
                <c:manualLayout>
                  <c:x val="4.7940074906367043E-2"/>
                  <c:y val="-8.7431693989071038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D-4358-8A79-19C7D461550C}"/>
                </c:ext>
              </c:extLst>
            </c:dLbl>
            <c:dLbl>
              <c:idx val="1"/>
              <c:layout>
                <c:manualLayout>
                  <c:x val="1.1985018726591761E-2"/>
                  <c:y val="-5.02732240437158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80223539473296"/>
                      <c:h val="0.174601092896174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817D-4358-8A79-19C7D461550C}"/>
                </c:ext>
              </c:extLst>
            </c:dLbl>
            <c:dLbl>
              <c:idx val="2"/>
              <c:layout>
                <c:manualLayout>
                  <c:x val="-8.8637649324822737E-2"/>
                  <c:y val="7.2645380754599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2724716152054029"/>
                      <c:h val="0.285996643862140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7D-4358-8A79-19C7D461550C}"/>
                </c:ext>
              </c:extLst>
            </c:dLbl>
            <c:dLbl>
              <c:idx val="3"/>
              <c:layout>
                <c:manualLayout>
                  <c:x val="-5.9925093632958816E-2"/>
                  <c:y val="-7.431693989071046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D-4358-8A79-19C7D46155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MODELO!$C$38:$C$41</c:f>
              <c:strCache>
                <c:ptCount val="4"/>
                <c:pt idx="0">
                  <c:v> Fixos </c:v>
                </c:pt>
                <c:pt idx="1">
                  <c:v> Variados Essenciais </c:v>
                </c:pt>
                <c:pt idx="2">
                  <c:v> Variados Não Essenciais </c:v>
                </c:pt>
                <c:pt idx="3">
                  <c:v> Restante </c:v>
                </c:pt>
              </c:strCache>
            </c:strRef>
          </c:cat>
          <c:val>
            <c:numRef>
              <c:f>MODELO!$E$38:$E$41</c:f>
              <c:numCache>
                <c:formatCode>_-[$R$-416]\ * #,##0.00_-;\-[$R$-416]\ * #,##0.00_-;_-[$R$-416]\ * "-"??_-;_-@_-</c:formatCode>
                <c:ptCount val="4"/>
                <c:pt idx="0">
                  <c:v>1540</c:v>
                </c:pt>
                <c:pt idx="1">
                  <c:v>940</c:v>
                </c:pt>
                <c:pt idx="2">
                  <c:v>705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7D-4358-8A79-19C7D461550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69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Seus Gastos Não Essenciais</a:t>
            </a:r>
          </a:p>
        </c:rich>
      </c:tx>
      <c:layout>
        <c:manualLayout>
          <c:xMode val="edge"/>
          <c:yMode val="edge"/>
          <c:x val="0.38156988188976376"/>
          <c:y val="2.73037542662116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E085C2"/>
            </a:solidFill>
          </c:spPr>
          <c:dPt>
            <c:idx val="0"/>
            <c:bubble3D val="0"/>
            <c:spPr>
              <a:solidFill>
                <a:srgbClr val="FF8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745-4BE8-B2D3-4A9E23B96AC9}"/>
              </c:ext>
            </c:extLst>
          </c:dPt>
          <c:dPt>
            <c:idx val="1"/>
            <c:bubble3D val="0"/>
            <c:spPr>
              <a:solidFill>
                <a:srgbClr val="FF4D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3745-4BE8-B2D3-4A9E23B96AC9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745-4BE8-B2D3-4A9E23B96AC9}"/>
              </c:ext>
            </c:extLst>
          </c:dPt>
          <c:dPt>
            <c:idx val="3"/>
            <c:bubble3D val="0"/>
            <c:spPr>
              <a:solidFill>
                <a:srgbClr val="CC00CC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3745-4BE8-B2D3-4A9E23B96AC9}"/>
              </c:ext>
            </c:extLst>
          </c:dPt>
          <c:dPt>
            <c:idx val="4"/>
            <c:bubble3D val="0"/>
            <c:spPr>
              <a:solidFill>
                <a:srgbClr val="FFB3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745-4BE8-B2D3-4A9E23B96AC9}"/>
              </c:ext>
            </c:extLst>
          </c:dPt>
          <c:dLbls>
            <c:dLbl>
              <c:idx val="0"/>
              <c:layout>
                <c:manualLayout>
                  <c:x val="1.7857142857142856E-2"/>
                  <c:y val="9.101251422070534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745-4BE8-B2D3-4A9E23B96AC9}"/>
                </c:ext>
              </c:extLst>
            </c:dLbl>
            <c:dLbl>
              <c:idx val="1"/>
              <c:layout>
                <c:manualLayout>
                  <c:x val="8.9285714285714281E-3"/>
                  <c:y val="-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45-4BE8-B2D3-4A9E23B96AC9}"/>
                </c:ext>
              </c:extLst>
            </c:dLbl>
            <c:dLbl>
              <c:idx val="2"/>
              <c:layout>
                <c:manualLayout>
                  <c:x val="1.1904761904761795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45-4BE8-B2D3-4A9E23B96AC9}"/>
                </c:ext>
              </c:extLst>
            </c:dLbl>
            <c:dLbl>
              <c:idx val="3"/>
              <c:layout>
                <c:manualLayout>
                  <c:x val="-1.785714285714287E-2"/>
                  <c:y val="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745-4BE8-B2D3-4A9E23B96AC9}"/>
                </c:ext>
              </c:extLst>
            </c:dLbl>
            <c:dLbl>
              <c:idx val="4"/>
              <c:layout>
                <c:manualLayout>
                  <c:x val="-0.10714285714285711"/>
                  <c:y val="2.2753128555176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45-4BE8-B2D3-4A9E23B96A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MODELO!$C$28:$C$32</c:f>
              <c:strCache>
                <c:ptCount val="5"/>
                <c:pt idx="0">
                  <c:v>Salão de Beleza</c:v>
                </c:pt>
                <c:pt idx="1">
                  <c:v>Presentes</c:v>
                </c:pt>
                <c:pt idx="2">
                  <c:v>Cinema</c:v>
                </c:pt>
                <c:pt idx="3">
                  <c:v>Cartão de Credito</c:v>
                </c:pt>
                <c:pt idx="4">
                  <c:v>Delivery</c:v>
                </c:pt>
              </c:strCache>
            </c:strRef>
          </c:cat>
          <c:val>
            <c:numRef>
              <c:f>MODELO!$E$28:$E$32</c:f>
              <c:numCache>
                <c:formatCode>_-[$R$-416]\ * #,##0.00_-;\-[$R$-416]\ * #,##0.00_-;_-[$R$-416]\ * "-"??_-;_-@_-</c:formatCode>
                <c:ptCount val="5"/>
                <c:pt idx="0">
                  <c:v>120</c:v>
                </c:pt>
                <c:pt idx="1">
                  <c:v>150</c:v>
                </c:pt>
                <c:pt idx="2">
                  <c:v>100</c:v>
                </c:pt>
                <c:pt idx="3">
                  <c:v>300</c:v>
                </c:pt>
                <c:pt idx="4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45-4BE8-B2D3-4A9E23B96AC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Como Sua Renda Está</a:t>
            </a:r>
            <a:r>
              <a:rPr lang="pt-BR" baseline="0"/>
              <a:t> Dividida</a:t>
            </a:r>
          </a:p>
          <a:p>
            <a:pPr>
              <a:defRPr/>
            </a:pPr>
            <a:endParaRPr lang="pt-BR"/>
          </a:p>
        </c:rich>
      </c:tx>
      <c:layout>
        <c:manualLayout>
          <c:xMode val="edge"/>
          <c:yMode val="edge"/>
          <c:x val="0.6074231619923914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362-4372-83FD-7AFC54A666EB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362-4372-83FD-7AFC54A666EB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362-4372-83FD-7AFC54A666EB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362-4372-83FD-7AFC54A666EB}"/>
              </c:ext>
            </c:extLst>
          </c:dPt>
          <c:dLbls>
            <c:dLbl>
              <c:idx val="0"/>
              <c:layout>
                <c:manualLayout>
                  <c:x val="4.7940074906367043E-2"/>
                  <c:y val="-8.7431693989071038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62-4372-83FD-7AFC54A666EB}"/>
                </c:ext>
              </c:extLst>
            </c:dLbl>
            <c:dLbl>
              <c:idx val="1"/>
              <c:layout>
                <c:manualLayout>
                  <c:x val="2.9962546816479401E-2"/>
                  <c:y val="-3.27868852459016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80223539473296"/>
                      <c:h val="0.174601092896174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362-4372-83FD-7AFC54A666EB}"/>
                </c:ext>
              </c:extLst>
            </c:dLbl>
            <c:dLbl>
              <c:idx val="2"/>
              <c:layout>
                <c:manualLayout>
                  <c:x val="-8.8637649324822737E-2"/>
                  <c:y val="7.2645380754599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2724716152054029"/>
                      <c:h val="0.285996643862140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362-4372-83FD-7AFC54A666EB}"/>
                </c:ext>
              </c:extLst>
            </c:dLbl>
            <c:dLbl>
              <c:idx val="3"/>
              <c:layout>
                <c:manualLayout>
                  <c:x val="-7.7902621722846455E-2"/>
                  <c:y val="-0.1661202185792349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362-4372-83FD-7AFC54A666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JAN_2024!$C$38:$C$41</c:f>
              <c:strCache>
                <c:ptCount val="4"/>
                <c:pt idx="0">
                  <c:v> Fixos </c:v>
                </c:pt>
                <c:pt idx="1">
                  <c:v> Variados Essenciais </c:v>
                </c:pt>
                <c:pt idx="2">
                  <c:v> Variados Não Essenciais </c:v>
                </c:pt>
                <c:pt idx="3">
                  <c:v> Restante </c:v>
                </c:pt>
              </c:strCache>
            </c:strRef>
          </c:cat>
          <c:val>
            <c:numRef>
              <c:f>JAN_2024!$E$38:$E$41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62-4372-83FD-7AFC54A666EB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69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Seus Gastos Não Essenciais</a:t>
            </a:r>
          </a:p>
        </c:rich>
      </c:tx>
      <c:layout>
        <c:manualLayout>
          <c:xMode val="edge"/>
          <c:yMode val="edge"/>
          <c:x val="0.38156988188976376"/>
          <c:y val="2.73037542662116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E085C2"/>
            </a:solidFill>
          </c:spPr>
          <c:dPt>
            <c:idx val="0"/>
            <c:bubble3D val="0"/>
            <c:spPr>
              <a:solidFill>
                <a:srgbClr val="FF8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45C-470E-B4A5-D876DFDE95E6}"/>
              </c:ext>
            </c:extLst>
          </c:dPt>
          <c:dPt>
            <c:idx val="1"/>
            <c:bubble3D val="0"/>
            <c:spPr>
              <a:solidFill>
                <a:srgbClr val="FF4D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45C-470E-B4A5-D876DFDE95E6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45C-470E-B4A5-D876DFDE95E6}"/>
              </c:ext>
            </c:extLst>
          </c:dPt>
          <c:dPt>
            <c:idx val="3"/>
            <c:bubble3D val="0"/>
            <c:spPr>
              <a:solidFill>
                <a:srgbClr val="CC00CC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45C-470E-B4A5-D876DFDE95E6}"/>
              </c:ext>
            </c:extLst>
          </c:dPt>
          <c:dPt>
            <c:idx val="4"/>
            <c:bubble3D val="0"/>
            <c:spPr>
              <a:solidFill>
                <a:srgbClr val="FFB3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45C-470E-B4A5-D876DFDE95E6}"/>
              </c:ext>
            </c:extLst>
          </c:dPt>
          <c:dLbls>
            <c:dLbl>
              <c:idx val="0"/>
              <c:layout>
                <c:manualLayout>
                  <c:x val="1.7857142857142856E-2"/>
                  <c:y val="9.101251422070534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45C-470E-B4A5-D876DFDE95E6}"/>
                </c:ext>
              </c:extLst>
            </c:dLbl>
            <c:dLbl>
              <c:idx val="1"/>
              <c:layout>
                <c:manualLayout>
                  <c:x val="8.9285714285714281E-3"/>
                  <c:y val="-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5C-470E-B4A5-D876DFDE95E6}"/>
                </c:ext>
              </c:extLst>
            </c:dLbl>
            <c:dLbl>
              <c:idx val="2"/>
              <c:layout>
                <c:manualLayout>
                  <c:x val="1.1904761904761795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45C-470E-B4A5-D876DFDE95E6}"/>
                </c:ext>
              </c:extLst>
            </c:dLbl>
            <c:dLbl>
              <c:idx val="3"/>
              <c:layout>
                <c:manualLayout>
                  <c:x val="-1.785714285714287E-2"/>
                  <c:y val="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5C-470E-B4A5-D876DFDE95E6}"/>
                </c:ext>
              </c:extLst>
            </c:dLbl>
            <c:dLbl>
              <c:idx val="4"/>
              <c:layout>
                <c:manualLayout>
                  <c:x val="-0.10714285714285711"/>
                  <c:y val="2.2753128555176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45C-470E-B4A5-D876DFDE95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JAN_2024!$C$28:$C$32</c:f>
              <c:numCache>
                <c:formatCode>General</c:formatCode>
                <c:ptCount val="5"/>
              </c:numCache>
            </c:numRef>
          </c:cat>
          <c:val>
            <c:numRef>
              <c:f>JAN_2024!$E$28:$E$32</c:f>
              <c:numCache>
                <c:formatCode>_-[$R$-416]\ * #,##0.00_-;\-[$R$-416]\ * #,##0.00_-;_-[$R$-416]\ 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445C-470E-B4A5-D876DFDE95E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Como Sua Renda Está</a:t>
            </a:r>
            <a:r>
              <a:rPr lang="pt-BR" baseline="0"/>
              <a:t> Dividida</a:t>
            </a:r>
          </a:p>
          <a:p>
            <a:pPr>
              <a:defRPr/>
            </a:pPr>
            <a:endParaRPr lang="pt-BR"/>
          </a:p>
        </c:rich>
      </c:tx>
      <c:layout>
        <c:manualLayout>
          <c:xMode val="edge"/>
          <c:yMode val="edge"/>
          <c:x val="0.6074231619923914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8FA-40FC-B5B2-3A5839ECDBA2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8FA-40FC-B5B2-3A5839ECDBA2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8FA-40FC-B5B2-3A5839ECDBA2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8FA-40FC-B5B2-3A5839ECDBA2}"/>
              </c:ext>
            </c:extLst>
          </c:dPt>
          <c:dLbls>
            <c:dLbl>
              <c:idx val="0"/>
              <c:layout>
                <c:manualLayout>
                  <c:x val="4.7940074906367043E-2"/>
                  <c:y val="-8.7431693989071038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8FA-40FC-B5B2-3A5839ECDBA2}"/>
                </c:ext>
              </c:extLst>
            </c:dLbl>
            <c:dLbl>
              <c:idx val="1"/>
              <c:layout>
                <c:manualLayout>
                  <c:x val="2.9962546816479401E-2"/>
                  <c:y val="-3.27868852459016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80223539473296"/>
                      <c:h val="0.174601092896174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8FA-40FC-B5B2-3A5839ECDBA2}"/>
                </c:ext>
              </c:extLst>
            </c:dLbl>
            <c:dLbl>
              <c:idx val="2"/>
              <c:layout>
                <c:manualLayout>
                  <c:x val="-8.8637649324822737E-2"/>
                  <c:y val="7.2645380754599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2724716152054029"/>
                      <c:h val="0.285996643862140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8FA-40FC-B5B2-3A5839ECDBA2}"/>
                </c:ext>
              </c:extLst>
            </c:dLbl>
            <c:dLbl>
              <c:idx val="3"/>
              <c:layout>
                <c:manualLayout>
                  <c:x val="-7.7902621722846455E-2"/>
                  <c:y val="-0.1661202185792349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FA-40FC-B5B2-3A5839ECDB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FEV_2024!$C$38:$C$41</c:f>
              <c:strCache>
                <c:ptCount val="4"/>
                <c:pt idx="0">
                  <c:v> Fixos </c:v>
                </c:pt>
                <c:pt idx="1">
                  <c:v> Variados Essenciais </c:v>
                </c:pt>
                <c:pt idx="2">
                  <c:v> Variados Não Essenciais </c:v>
                </c:pt>
                <c:pt idx="3">
                  <c:v> Restante </c:v>
                </c:pt>
              </c:strCache>
            </c:strRef>
          </c:cat>
          <c:val>
            <c:numRef>
              <c:f>FEV_2024!$E$38:$E$41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FA-40FC-B5B2-3A5839ECDBA2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69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Seus Gastos Não Essenciais</a:t>
            </a:r>
          </a:p>
        </c:rich>
      </c:tx>
      <c:layout>
        <c:manualLayout>
          <c:xMode val="edge"/>
          <c:yMode val="edge"/>
          <c:x val="0.38156988188976376"/>
          <c:y val="2.73037542662116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E085C2"/>
            </a:solidFill>
          </c:spPr>
          <c:dPt>
            <c:idx val="0"/>
            <c:bubble3D val="0"/>
            <c:spPr>
              <a:solidFill>
                <a:srgbClr val="FF8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40F-4123-BBEB-97FC699FA629}"/>
              </c:ext>
            </c:extLst>
          </c:dPt>
          <c:dPt>
            <c:idx val="1"/>
            <c:bubble3D val="0"/>
            <c:spPr>
              <a:solidFill>
                <a:srgbClr val="FF4D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40F-4123-BBEB-97FC699FA629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40F-4123-BBEB-97FC699FA629}"/>
              </c:ext>
            </c:extLst>
          </c:dPt>
          <c:dPt>
            <c:idx val="3"/>
            <c:bubble3D val="0"/>
            <c:spPr>
              <a:solidFill>
                <a:srgbClr val="CC00CC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40F-4123-BBEB-97FC699FA629}"/>
              </c:ext>
            </c:extLst>
          </c:dPt>
          <c:dPt>
            <c:idx val="4"/>
            <c:bubble3D val="0"/>
            <c:spPr>
              <a:solidFill>
                <a:srgbClr val="FFB3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40F-4123-BBEB-97FC699FA629}"/>
              </c:ext>
            </c:extLst>
          </c:dPt>
          <c:dLbls>
            <c:dLbl>
              <c:idx val="0"/>
              <c:layout>
                <c:manualLayout>
                  <c:x val="1.7857142857142856E-2"/>
                  <c:y val="9.101251422070534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40F-4123-BBEB-97FC699FA629}"/>
                </c:ext>
              </c:extLst>
            </c:dLbl>
            <c:dLbl>
              <c:idx val="1"/>
              <c:layout>
                <c:manualLayout>
                  <c:x val="8.9285714285714281E-3"/>
                  <c:y val="-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0F-4123-BBEB-97FC699FA629}"/>
                </c:ext>
              </c:extLst>
            </c:dLbl>
            <c:dLbl>
              <c:idx val="2"/>
              <c:layout>
                <c:manualLayout>
                  <c:x val="1.1904761904761795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40F-4123-BBEB-97FC699FA629}"/>
                </c:ext>
              </c:extLst>
            </c:dLbl>
            <c:dLbl>
              <c:idx val="3"/>
              <c:layout>
                <c:manualLayout>
                  <c:x val="-1.785714285714287E-2"/>
                  <c:y val="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0F-4123-BBEB-97FC699FA629}"/>
                </c:ext>
              </c:extLst>
            </c:dLbl>
            <c:dLbl>
              <c:idx val="4"/>
              <c:layout>
                <c:manualLayout>
                  <c:x val="-0.10714285714285711"/>
                  <c:y val="2.2753128555176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40F-4123-BBEB-97FC699FA6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FEV_2024!$C$28:$C$32</c:f>
              <c:numCache>
                <c:formatCode>General</c:formatCode>
                <c:ptCount val="5"/>
              </c:numCache>
            </c:numRef>
          </c:cat>
          <c:val>
            <c:numRef>
              <c:f>FEV_2024!$E$28:$E$32</c:f>
              <c:numCache>
                <c:formatCode>_-[$R$-416]\ * #,##0.00_-;\-[$R$-416]\ * #,##0.00_-;_-[$R$-416]\ 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940F-4123-BBEB-97FC699FA62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Como Sua Renda Está</a:t>
            </a:r>
            <a:r>
              <a:rPr lang="pt-BR" baseline="0"/>
              <a:t> Dividida</a:t>
            </a:r>
          </a:p>
          <a:p>
            <a:pPr>
              <a:defRPr/>
            </a:pPr>
            <a:endParaRPr lang="pt-BR"/>
          </a:p>
        </c:rich>
      </c:tx>
      <c:layout>
        <c:manualLayout>
          <c:xMode val="edge"/>
          <c:yMode val="edge"/>
          <c:x val="0.6074231619923914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A9C-4C34-8716-4B24E83FB015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A9C-4C34-8716-4B24E83FB015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A9C-4C34-8716-4B24E83FB015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A9C-4C34-8716-4B24E83FB015}"/>
              </c:ext>
            </c:extLst>
          </c:dPt>
          <c:dLbls>
            <c:dLbl>
              <c:idx val="0"/>
              <c:layout>
                <c:manualLayout>
                  <c:x val="4.7940074906367043E-2"/>
                  <c:y val="-8.7431693989071038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A9C-4C34-8716-4B24E83FB015}"/>
                </c:ext>
              </c:extLst>
            </c:dLbl>
            <c:dLbl>
              <c:idx val="1"/>
              <c:layout>
                <c:manualLayout>
                  <c:x val="2.9962546816479401E-2"/>
                  <c:y val="-3.27868852459016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80223539473296"/>
                      <c:h val="0.174601092896174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A9C-4C34-8716-4B24E83FB015}"/>
                </c:ext>
              </c:extLst>
            </c:dLbl>
            <c:dLbl>
              <c:idx val="2"/>
              <c:layout>
                <c:manualLayout>
                  <c:x val="-8.8637649324822737E-2"/>
                  <c:y val="7.2645380754599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2724716152054029"/>
                      <c:h val="0.285996643862140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A9C-4C34-8716-4B24E83FB015}"/>
                </c:ext>
              </c:extLst>
            </c:dLbl>
            <c:dLbl>
              <c:idx val="3"/>
              <c:layout>
                <c:manualLayout>
                  <c:x val="-7.7902621722846455E-2"/>
                  <c:y val="-0.1661202185792349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9C-4C34-8716-4B24E83FB0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MAR_2024!$C$38:$C$41</c:f>
              <c:strCache>
                <c:ptCount val="4"/>
                <c:pt idx="0">
                  <c:v> Fixos </c:v>
                </c:pt>
                <c:pt idx="1">
                  <c:v> Variados Essenciais </c:v>
                </c:pt>
                <c:pt idx="2">
                  <c:v> Variados Não Essenciais </c:v>
                </c:pt>
                <c:pt idx="3">
                  <c:v> Restante </c:v>
                </c:pt>
              </c:strCache>
            </c:strRef>
          </c:cat>
          <c:val>
            <c:numRef>
              <c:f>MAR_2024!$E$38:$E$41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9C-4C34-8716-4B24E83FB01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69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Seus Gastos Não Essenciais</a:t>
            </a:r>
          </a:p>
        </c:rich>
      </c:tx>
      <c:layout>
        <c:manualLayout>
          <c:xMode val="edge"/>
          <c:yMode val="edge"/>
          <c:x val="0.38156988188976376"/>
          <c:y val="2.73037542662116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E085C2"/>
            </a:solidFill>
          </c:spPr>
          <c:dPt>
            <c:idx val="0"/>
            <c:bubble3D val="0"/>
            <c:spPr>
              <a:solidFill>
                <a:srgbClr val="FF8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AD7-4E78-8434-C1CF4244B055}"/>
              </c:ext>
            </c:extLst>
          </c:dPt>
          <c:dPt>
            <c:idx val="1"/>
            <c:bubble3D val="0"/>
            <c:spPr>
              <a:solidFill>
                <a:srgbClr val="FF4D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AD7-4E78-8434-C1CF4244B055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AD7-4E78-8434-C1CF4244B055}"/>
              </c:ext>
            </c:extLst>
          </c:dPt>
          <c:dPt>
            <c:idx val="3"/>
            <c:bubble3D val="0"/>
            <c:spPr>
              <a:solidFill>
                <a:srgbClr val="CC00CC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AD7-4E78-8434-C1CF4244B055}"/>
              </c:ext>
            </c:extLst>
          </c:dPt>
          <c:dPt>
            <c:idx val="4"/>
            <c:bubble3D val="0"/>
            <c:spPr>
              <a:solidFill>
                <a:srgbClr val="FFB3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AD7-4E78-8434-C1CF4244B055}"/>
              </c:ext>
            </c:extLst>
          </c:dPt>
          <c:dLbls>
            <c:dLbl>
              <c:idx val="0"/>
              <c:layout>
                <c:manualLayout>
                  <c:x val="1.7857142857142856E-2"/>
                  <c:y val="9.101251422070534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AD7-4E78-8434-C1CF4244B055}"/>
                </c:ext>
              </c:extLst>
            </c:dLbl>
            <c:dLbl>
              <c:idx val="1"/>
              <c:layout>
                <c:manualLayout>
                  <c:x val="8.9285714285714281E-3"/>
                  <c:y val="-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D7-4E78-8434-C1CF4244B055}"/>
                </c:ext>
              </c:extLst>
            </c:dLbl>
            <c:dLbl>
              <c:idx val="2"/>
              <c:layout>
                <c:manualLayout>
                  <c:x val="1.1904761904761795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D7-4E78-8434-C1CF4244B055}"/>
                </c:ext>
              </c:extLst>
            </c:dLbl>
            <c:dLbl>
              <c:idx val="3"/>
              <c:layout>
                <c:manualLayout>
                  <c:x val="-1.785714285714287E-2"/>
                  <c:y val="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D7-4E78-8434-C1CF4244B055}"/>
                </c:ext>
              </c:extLst>
            </c:dLbl>
            <c:dLbl>
              <c:idx val="4"/>
              <c:layout>
                <c:manualLayout>
                  <c:x val="-0.10714285714285711"/>
                  <c:y val="2.2753128555176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AD7-4E78-8434-C1CF4244B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MAR_2024!$C$28:$C$32</c:f>
              <c:numCache>
                <c:formatCode>General</c:formatCode>
                <c:ptCount val="5"/>
              </c:numCache>
            </c:numRef>
          </c:cat>
          <c:val>
            <c:numRef>
              <c:f>MAR_2024!$E$28:$E$32</c:f>
              <c:numCache>
                <c:formatCode>_-[$R$-416]\ * #,##0.00_-;\-[$R$-416]\ * #,##0.00_-;_-[$R$-416]\ 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2AD7-4E78-8434-C1CF4244B05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Como Sua Renda Está</a:t>
            </a:r>
            <a:r>
              <a:rPr lang="pt-BR" baseline="0"/>
              <a:t> Dividida</a:t>
            </a:r>
          </a:p>
          <a:p>
            <a:pPr>
              <a:defRPr/>
            </a:pPr>
            <a:endParaRPr lang="pt-BR"/>
          </a:p>
        </c:rich>
      </c:tx>
      <c:layout>
        <c:manualLayout>
          <c:xMode val="edge"/>
          <c:yMode val="edge"/>
          <c:x val="0.6074231619923914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5F-4B50-8FA6-CD6A633C7056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5F-4B50-8FA6-CD6A633C7056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55F-4B50-8FA6-CD6A633C7056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55F-4B50-8FA6-CD6A633C7056}"/>
              </c:ext>
            </c:extLst>
          </c:dPt>
          <c:dLbls>
            <c:dLbl>
              <c:idx val="0"/>
              <c:layout>
                <c:manualLayout>
                  <c:x val="4.7940074906367043E-2"/>
                  <c:y val="-8.7431693989071038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5F-4B50-8FA6-CD6A633C7056}"/>
                </c:ext>
              </c:extLst>
            </c:dLbl>
            <c:dLbl>
              <c:idx val="1"/>
              <c:layout>
                <c:manualLayout>
                  <c:x val="2.9962546816479401E-2"/>
                  <c:y val="-3.27868852459016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80223539473296"/>
                      <c:h val="0.174601092896174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55F-4B50-8FA6-CD6A633C7056}"/>
                </c:ext>
              </c:extLst>
            </c:dLbl>
            <c:dLbl>
              <c:idx val="2"/>
              <c:layout>
                <c:manualLayout>
                  <c:x val="-8.8637649324822737E-2"/>
                  <c:y val="7.2645380754599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2724716152054029"/>
                      <c:h val="0.285996643862140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55F-4B50-8FA6-CD6A633C7056}"/>
                </c:ext>
              </c:extLst>
            </c:dLbl>
            <c:dLbl>
              <c:idx val="3"/>
              <c:layout>
                <c:manualLayout>
                  <c:x val="-7.7902621722846455E-2"/>
                  <c:y val="-0.1661202185792349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5F-4B50-8FA6-CD6A633C70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'ABR_2024 '!$C$38:$C$41</c:f>
              <c:strCache>
                <c:ptCount val="4"/>
                <c:pt idx="0">
                  <c:v> Fixos </c:v>
                </c:pt>
                <c:pt idx="1">
                  <c:v> Variados Essenciais </c:v>
                </c:pt>
                <c:pt idx="2">
                  <c:v> Variados Não Essenciais </c:v>
                </c:pt>
                <c:pt idx="3">
                  <c:v> Restante </c:v>
                </c:pt>
              </c:strCache>
            </c:strRef>
          </c:cat>
          <c:val>
            <c:numRef>
              <c:f>'ABR_2024 '!$E$38:$E$41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5F-4B50-8FA6-CD6A633C705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69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Seus Gastos Não Essenciais</a:t>
            </a:r>
          </a:p>
        </c:rich>
      </c:tx>
      <c:layout>
        <c:manualLayout>
          <c:xMode val="edge"/>
          <c:yMode val="edge"/>
          <c:x val="0.38156988188976376"/>
          <c:y val="2.73037542662116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E085C2"/>
            </a:solidFill>
          </c:spPr>
          <c:dPt>
            <c:idx val="0"/>
            <c:bubble3D val="0"/>
            <c:spPr>
              <a:solidFill>
                <a:srgbClr val="FF8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1CB-4C21-B68B-14A5E96E958D}"/>
              </c:ext>
            </c:extLst>
          </c:dPt>
          <c:dPt>
            <c:idx val="1"/>
            <c:bubble3D val="0"/>
            <c:spPr>
              <a:solidFill>
                <a:srgbClr val="FF4D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1CB-4C21-B68B-14A5E96E958D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1CB-4C21-B68B-14A5E96E958D}"/>
              </c:ext>
            </c:extLst>
          </c:dPt>
          <c:dPt>
            <c:idx val="3"/>
            <c:bubble3D val="0"/>
            <c:spPr>
              <a:solidFill>
                <a:srgbClr val="CC00CC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1CB-4C21-B68B-14A5E96E958D}"/>
              </c:ext>
            </c:extLst>
          </c:dPt>
          <c:dPt>
            <c:idx val="4"/>
            <c:bubble3D val="0"/>
            <c:spPr>
              <a:solidFill>
                <a:srgbClr val="FFB3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1CB-4C21-B68B-14A5E96E958D}"/>
              </c:ext>
            </c:extLst>
          </c:dPt>
          <c:dLbls>
            <c:dLbl>
              <c:idx val="0"/>
              <c:layout>
                <c:manualLayout>
                  <c:x val="1.7857142857142856E-2"/>
                  <c:y val="9.101251422070534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1CB-4C21-B68B-14A5E96E958D}"/>
                </c:ext>
              </c:extLst>
            </c:dLbl>
            <c:dLbl>
              <c:idx val="1"/>
              <c:layout>
                <c:manualLayout>
                  <c:x val="8.9285714285714281E-3"/>
                  <c:y val="-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CB-4C21-B68B-14A5E96E958D}"/>
                </c:ext>
              </c:extLst>
            </c:dLbl>
            <c:dLbl>
              <c:idx val="2"/>
              <c:layout>
                <c:manualLayout>
                  <c:x val="1.1904761904761795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CB-4C21-B68B-14A5E96E958D}"/>
                </c:ext>
              </c:extLst>
            </c:dLbl>
            <c:dLbl>
              <c:idx val="3"/>
              <c:layout>
                <c:manualLayout>
                  <c:x val="-1.785714285714287E-2"/>
                  <c:y val="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1CB-4C21-B68B-14A5E96E958D}"/>
                </c:ext>
              </c:extLst>
            </c:dLbl>
            <c:dLbl>
              <c:idx val="4"/>
              <c:layout>
                <c:manualLayout>
                  <c:x val="-0.10714285714285711"/>
                  <c:y val="2.2753128555176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1CB-4C21-B68B-14A5E96E95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'ABR_2024 '!$C$28:$C$32</c:f>
              <c:numCache>
                <c:formatCode>General</c:formatCode>
                <c:ptCount val="5"/>
              </c:numCache>
            </c:numRef>
          </c:cat>
          <c:val>
            <c:numRef>
              <c:f>'ABR_2024 '!$E$28:$E$32</c:f>
              <c:numCache>
                <c:formatCode>_-[$R$-416]\ * #,##0.00_-;\-[$R$-416]\ * #,##0.00_-;_-[$R$-416]\ 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41CB-4C21-B68B-14A5E96E958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Como Sua Renda Está</a:t>
            </a:r>
            <a:r>
              <a:rPr lang="pt-BR" baseline="0"/>
              <a:t> Dividida</a:t>
            </a:r>
          </a:p>
          <a:p>
            <a:pPr>
              <a:defRPr/>
            </a:pPr>
            <a:endParaRPr lang="pt-BR"/>
          </a:p>
        </c:rich>
      </c:tx>
      <c:layout>
        <c:manualLayout>
          <c:xMode val="edge"/>
          <c:yMode val="edge"/>
          <c:x val="0.6074231619923914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003-43AD-9ED1-9D4A65237F79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003-43AD-9ED1-9D4A65237F79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003-43AD-9ED1-9D4A65237F79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003-43AD-9ED1-9D4A65237F79}"/>
              </c:ext>
            </c:extLst>
          </c:dPt>
          <c:dLbls>
            <c:dLbl>
              <c:idx val="0"/>
              <c:layout>
                <c:manualLayout>
                  <c:x val="4.7940074906367043E-2"/>
                  <c:y val="-8.7431693989071038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003-43AD-9ED1-9D4A65237F79}"/>
                </c:ext>
              </c:extLst>
            </c:dLbl>
            <c:dLbl>
              <c:idx val="1"/>
              <c:layout>
                <c:manualLayout>
                  <c:x val="2.9962546816479401E-2"/>
                  <c:y val="-3.27868852459016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80223539473296"/>
                      <c:h val="0.174601092896174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003-43AD-9ED1-9D4A65237F79}"/>
                </c:ext>
              </c:extLst>
            </c:dLbl>
            <c:dLbl>
              <c:idx val="2"/>
              <c:layout>
                <c:manualLayout>
                  <c:x val="-8.8637649324822737E-2"/>
                  <c:y val="7.2645380754599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2724716152054029"/>
                      <c:h val="0.285996643862140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A003-43AD-9ED1-9D4A65237F79}"/>
                </c:ext>
              </c:extLst>
            </c:dLbl>
            <c:dLbl>
              <c:idx val="3"/>
              <c:layout>
                <c:manualLayout>
                  <c:x val="-7.7902621722846455E-2"/>
                  <c:y val="-0.1661202185792349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03-43AD-9ED1-9D4A65237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MAI_2024!$C$38:$C$41</c:f>
              <c:strCache>
                <c:ptCount val="4"/>
                <c:pt idx="0">
                  <c:v> Fixos </c:v>
                </c:pt>
                <c:pt idx="1">
                  <c:v> Variados Essenciais </c:v>
                </c:pt>
                <c:pt idx="2">
                  <c:v> Variados Não Essenciais </c:v>
                </c:pt>
                <c:pt idx="3">
                  <c:v> Restante </c:v>
                </c:pt>
              </c:strCache>
            </c:strRef>
          </c:cat>
          <c:val>
            <c:numRef>
              <c:f>MAI_2024!$E$38:$E$41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3-43AD-9ED1-9D4A65237F7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69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Seus Gastos Não Essenciais</a:t>
            </a:r>
          </a:p>
        </c:rich>
      </c:tx>
      <c:layout>
        <c:manualLayout>
          <c:xMode val="edge"/>
          <c:yMode val="edge"/>
          <c:x val="0.38156988188976376"/>
          <c:y val="2.73037542662116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E085C2"/>
            </a:solidFill>
          </c:spPr>
          <c:dPt>
            <c:idx val="0"/>
            <c:bubble3D val="0"/>
            <c:spPr>
              <a:solidFill>
                <a:srgbClr val="FF8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5C3-442D-8598-D141912114F0}"/>
              </c:ext>
            </c:extLst>
          </c:dPt>
          <c:dPt>
            <c:idx val="1"/>
            <c:bubble3D val="0"/>
            <c:spPr>
              <a:solidFill>
                <a:srgbClr val="FF4D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5C3-442D-8598-D141912114F0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5C3-442D-8598-D141912114F0}"/>
              </c:ext>
            </c:extLst>
          </c:dPt>
          <c:dPt>
            <c:idx val="3"/>
            <c:bubble3D val="0"/>
            <c:spPr>
              <a:solidFill>
                <a:srgbClr val="CC00CC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5C3-442D-8598-D141912114F0}"/>
              </c:ext>
            </c:extLst>
          </c:dPt>
          <c:dPt>
            <c:idx val="4"/>
            <c:bubble3D val="0"/>
            <c:spPr>
              <a:solidFill>
                <a:srgbClr val="FFB3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5C3-442D-8598-D141912114F0}"/>
              </c:ext>
            </c:extLst>
          </c:dPt>
          <c:dLbls>
            <c:dLbl>
              <c:idx val="0"/>
              <c:layout>
                <c:manualLayout>
                  <c:x val="1.7857142857142856E-2"/>
                  <c:y val="9.101251422070534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5C3-442D-8598-D141912114F0}"/>
                </c:ext>
              </c:extLst>
            </c:dLbl>
            <c:dLbl>
              <c:idx val="1"/>
              <c:layout>
                <c:manualLayout>
                  <c:x val="8.9285714285714281E-3"/>
                  <c:y val="-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C3-442D-8598-D141912114F0}"/>
                </c:ext>
              </c:extLst>
            </c:dLbl>
            <c:dLbl>
              <c:idx val="2"/>
              <c:layout>
                <c:manualLayout>
                  <c:x val="1.1904761904761795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C3-442D-8598-D141912114F0}"/>
                </c:ext>
              </c:extLst>
            </c:dLbl>
            <c:dLbl>
              <c:idx val="3"/>
              <c:layout>
                <c:manualLayout>
                  <c:x val="-1.785714285714287E-2"/>
                  <c:y val="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C3-442D-8598-D141912114F0}"/>
                </c:ext>
              </c:extLst>
            </c:dLbl>
            <c:dLbl>
              <c:idx val="4"/>
              <c:layout>
                <c:manualLayout>
                  <c:x val="-0.10714285714285711"/>
                  <c:y val="2.2753128555176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5C3-442D-8598-D141912114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MAI_2024!$C$28:$C$32</c:f>
              <c:numCache>
                <c:formatCode>General</c:formatCode>
                <c:ptCount val="5"/>
              </c:numCache>
            </c:numRef>
          </c:cat>
          <c:val>
            <c:numRef>
              <c:f>MAI_2024!$E$28:$E$32</c:f>
              <c:numCache>
                <c:formatCode>_-[$R$-416]\ * #,##0.00_-;\-[$R$-416]\ * #,##0.00_-;_-[$R$-416]\ 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85C3-442D-8598-D141912114F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Como Sua Renda Está</a:t>
            </a:r>
            <a:r>
              <a:rPr lang="pt-BR" baseline="0"/>
              <a:t> Dividida</a:t>
            </a:r>
          </a:p>
          <a:p>
            <a:pPr>
              <a:defRPr/>
            </a:pPr>
            <a:endParaRPr lang="pt-BR"/>
          </a:p>
        </c:rich>
      </c:tx>
      <c:layout>
        <c:manualLayout>
          <c:xMode val="edge"/>
          <c:yMode val="edge"/>
          <c:x val="0.6074231619923914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F00-458E-A69B-E8CDA8D4E864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F00-458E-A69B-E8CDA8D4E864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F00-458E-A69B-E8CDA8D4E864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F00-458E-A69B-E8CDA8D4E864}"/>
              </c:ext>
            </c:extLst>
          </c:dPt>
          <c:dLbls>
            <c:dLbl>
              <c:idx val="0"/>
              <c:layout>
                <c:manualLayout>
                  <c:x val="4.7940074906367043E-2"/>
                  <c:y val="-8.7431693989071038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0-458E-A69B-E8CDA8D4E864}"/>
                </c:ext>
              </c:extLst>
            </c:dLbl>
            <c:dLbl>
              <c:idx val="1"/>
              <c:layout>
                <c:manualLayout>
                  <c:x val="2.9962546816479401E-2"/>
                  <c:y val="-3.27868852459016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80223539473296"/>
                      <c:h val="0.174601092896174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F00-458E-A69B-E8CDA8D4E864}"/>
                </c:ext>
              </c:extLst>
            </c:dLbl>
            <c:dLbl>
              <c:idx val="2"/>
              <c:layout>
                <c:manualLayout>
                  <c:x val="-8.8637649324822737E-2"/>
                  <c:y val="7.2645380754599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2724716152054029"/>
                      <c:h val="0.285996643862140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F00-458E-A69B-E8CDA8D4E864}"/>
                </c:ext>
              </c:extLst>
            </c:dLbl>
            <c:dLbl>
              <c:idx val="3"/>
              <c:layout>
                <c:manualLayout>
                  <c:x val="-7.7902621722846455E-2"/>
                  <c:y val="-0.1661202185792349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F00-458E-A69B-E8CDA8D4E8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JUN_2024!$C$38:$C$41</c:f>
              <c:strCache>
                <c:ptCount val="4"/>
                <c:pt idx="0">
                  <c:v> Fixos </c:v>
                </c:pt>
                <c:pt idx="1">
                  <c:v> Variados Essenciais </c:v>
                </c:pt>
                <c:pt idx="2">
                  <c:v> Variados Não Essenciais </c:v>
                </c:pt>
                <c:pt idx="3">
                  <c:v> Restante </c:v>
                </c:pt>
              </c:strCache>
            </c:strRef>
          </c:cat>
          <c:val>
            <c:numRef>
              <c:f>JUN_2024!$E$38:$E$41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00-458E-A69B-E8CDA8D4E864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69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Seus Gastos Não Essenciais</a:t>
            </a:r>
          </a:p>
        </c:rich>
      </c:tx>
      <c:layout>
        <c:manualLayout>
          <c:xMode val="edge"/>
          <c:yMode val="edge"/>
          <c:x val="0.38156988188976376"/>
          <c:y val="2.73037542662116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E085C2"/>
            </a:solidFill>
          </c:spPr>
          <c:dPt>
            <c:idx val="0"/>
            <c:bubble3D val="0"/>
            <c:spPr>
              <a:solidFill>
                <a:srgbClr val="FF8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559-4944-88D4-5C412E1192D0}"/>
              </c:ext>
            </c:extLst>
          </c:dPt>
          <c:dPt>
            <c:idx val="1"/>
            <c:bubble3D val="0"/>
            <c:spPr>
              <a:solidFill>
                <a:srgbClr val="FF4D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559-4944-88D4-5C412E1192D0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559-4944-88D4-5C412E1192D0}"/>
              </c:ext>
            </c:extLst>
          </c:dPt>
          <c:dPt>
            <c:idx val="3"/>
            <c:bubble3D val="0"/>
            <c:spPr>
              <a:solidFill>
                <a:srgbClr val="CC00CC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559-4944-88D4-5C412E1192D0}"/>
              </c:ext>
            </c:extLst>
          </c:dPt>
          <c:dPt>
            <c:idx val="4"/>
            <c:bubble3D val="0"/>
            <c:spPr>
              <a:solidFill>
                <a:srgbClr val="FFB3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559-4944-88D4-5C412E1192D0}"/>
              </c:ext>
            </c:extLst>
          </c:dPt>
          <c:dLbls>
            <c:dLbl>
              <c:idx val="0"/>
              <c:layout>
                <c:manualLayout>
                  <c:x val="1.7857142857142856E-2"/>
                  <c:y val="9.101251422070534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59-4944-88D4-5C412E1192D0}"/>
                </c:ext>
              </c:extLst>
            </c:dLbl>
            <c:dLbl>
              <c:idx val="1"/>
              <c:layout>
                <c:manualLayout>
                  <c:x val="8.9285714285714281E-3"/>
                  <c:y val="-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59-4944-88D4-5C412E1192D0}"/>
                </c:ext>
              </c:extLst>
            </c:dLbl>
            <c:dLbl>
              <c:idx val="2"/>
              <c:layout>
                <c:manualLayout>
                  <c:x val="1.1904761904761795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559-4944-88D4-5C412E1192D0}"/>
                </c:ext>
              </c:extLst>
            </c:dLbl>
            <c:dLbl>
              <c:idx val="3"/>
              <c:layout>
                <c:manualLayout>
                  <c:x val="-1.785714285714287E-2"/>
                  <c:y val="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59-4944-88D4-5C412E1192D0}"/>
                </c:ext>
              </c:extLst>
            </c:dLbl>
            <c:dLbl>
              <c:idx val="4"/>
              <c:layout>
                <c:manualLayout>
                  <c:x val="-0.10714285714285711"/>
                  <c:y val="2.2753128555176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559-4944-88D4-5C412E1192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JUN_2024!$C$28:$C$32</c:f>
              <c:numCache>
                <c:formatCode>General</c:formatCode>
                <c:ptCount val="5"/>
              </c:numCache>
            </c:numRef>
          </c:cat>
          <c:val>
            <c:numRef>
              <c:f>JUN_2024!$E$28:$E$32</c:f>
              <c:numCache>
                <c:formatCode>_-[$R$-416]\ * #,##0.00_-;\-[$R$-416]\ * #,##0.00_-;_-[$R$-416]\ 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5559-4944-88D4-5C412E1192D0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Como Sua Renda Está</a:t>
            </a:r>
            <a:r>
              <a:rPr lang="pt-BR" baseline="0"/>
              <a:t> Dividida</a:t>
            </a:r>
          </a:p>
          <a:p>
            <a:pPr>
              <a:defRPr/>
            </a:pPr>
            <a:endParaRPr lang="pt-BR"/>
          </a:p>
        </c:rich>
      </c:tx>
      <c:layout>
        <c:manualLayout>
          <c:xMode val="edge"/>
          <c:yMode val="edge"/>
          <c:x val="0.6074231619923914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FC6-44D6-9D15-A53CBD07F237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FC6-44D6-9D15-A53CBD07F237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FC6-44D6-9D15-A53CBD07F237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FC6-44D6-9D15-A53CBD07F237}"/>
              </c:ext>
            </c:extLst>
          </c:dPt>
          <c:dLbls>
            <c:dLbl>
              <c:idx val="0"/>
              <c:layout>
                <c:manualLayout>
                  <c:x val="4.7940074906367043E-2"/>
                  <c:y val="-8.7431693989071038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FC6-44D6-9D15-A53CBD07F237}"/>
                </c:ext>
              </c:extLst>
            </c:dLbl>
            <c:dLbl>
              <c:idx val="1"/>
              <c:layout>
                <c:manualLayout>
                  <c:x val="2.9962546816479401E-2"/>
                  <c:y val="-3.27868852459016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80223539473296"/>
                      <c:h val="0.174601092896174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6FC6-44D6-9D15-A53CBD07F237}"/>
                </c:ext>
              </c:extLst>
            </c:dLbl>
            <c:dLbl>
              <c:idx val="2"/>
              <c:layout>
                <c:manualLayout>
                  <c:x val="-8.8637649324822737E-2"/>
                  <c:y val="7.2645380754599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2724716152054029"/>
                      <c:h val="0.285996643862140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6FC6-44D6-9D15-A53CBD07F237}"/>
                </c:ext>
              </c:extLst>
            </c:dLbl>
            <c:dLbl>
              <c:idx val="3"/>
              <c:layout>
                <c:manualLayout>
                  <c:x val="-7.7902621722846455E-2"/>
                  <c:y val="-0.1661202185792349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C6-44D6-9D15-A53CBD07F2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JUL_2024!$C$38:$C$41</c:f>
              <c:strCache>
                <c:ptCount val="4"/>
                <c:pt idx="0">
                  <c:v> Fixos </c:v>
                </c:pt>
                <c:pt idx="1">
                  <c:v> Variados Essenciais </c:v>
                </c:pt>
                <c:pt idx="2">
                  <c:v> Variados Não Essenciais </c:v>
                </c:pt>
                <c:pt idx="3">
                  <c:v> Restante </c:v>
                </c:pt>
              </c:strCache>
            </c:strRef>
          </c:cat>
          <c:val>
            <c:numRef>
              <c:f>JUL_2024!$E$38:$E$41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FC6-44D6-9D15-A53CBD07F23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69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Seus Gastos Não Essenciais</a:t>
            </a:r>
          </a:p>
        </c:rich>
      </c:tx>
      <c:layout>
        <c:manualLayout>
          <c:xMode val="edge"/>
          <c:yMode val="edge"/>
          <c:x val="0.38156988188976376"/>
          <c:y val="2.73037542662116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E085C2"/>
            </a:solidFill>
          </c:spPr>
          <c:dPt>
            <c:idx val="0"/>
            <c:bubble3D val="0"/>
            <c:spPr>
              <a:solidFill>
                <a:srgbClr val="FF8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F0B-4ECC-9304-521A1239ED0F}"/>
              </c:ext>
            </c:extLst>
          </c:dPt>
          <c:dPt>
            <c:idx val="1"/>
            <c:bubble3D val="0"/>
            <c:spPr>
              <a:solidFill>
                <a:srgbClr val="FF4D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F0B-4ECC-9304-521A1239ED0F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F0B-4ECC-9304-521A1239ED0F}"/>
              </c:ext>
            </c:extLst>
          </c:dPt>
          <c:dPt>
            <c:idx val="3"/>
            <c:bubble3D val="0"/>
            <c:spPr>
              <a:solidFill>
                <a:srgbClr val="CC00CC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F0B-4ECC-9304-521A1239ED0F}"/>
              </c:ext>
            </c:extLst>
          </c:dPt>
          <c:dPt>
            <c:idx val="4"/>
            <c:bubble3D val="0"/>
            <c:spPr>
              <a:solidFill>
                <a:srgbClr val="FFB3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F0B-4ECC-9304-521A1239ED0F}"/>
              </c:ext>
            </c:extLst>
          </c:dPt>
          <c:dLbls>
            <c:dLbl>
              <c:idx val="0"/>
              <c:layout>
                <c:manualLayout>
                  <c:x val="1.7857142857142856E-2"/>
                  <c:y val="9.101251422070534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F0B-4ECC-9304-521A1239ED0F}"/>
                </c:ext>
              </c:extLst>
            </c:dLbl>
            <c:dLbl>
              <c:idx val="1"/>
              <c:layout>
                <c:manualLayout>
                  <c:x val="8.9285714285714281E-3"/>
                  <c:y val="-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0B-4ECC-9304-521A1239ED0F}"/>
                </c:ext>
              </c:extLst>
            </c:dLbl>
            <c:dLbl>
              <c:idx val="2"/>
              <c:layout>
                <c:manualLayout>
                  <c:x val="1.1904761904761795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F0B-4ECC-9304-521A1239ED0F}"/>
                </c:ext>
              </c:extLst>
            </c:dLbl>
            <c:dLbl>
              <c:idx val="3"/>
              <c:layout>
                <c:manualLayout>
                  <c:x val="-1.785714285714287E-2"/>
                  <c:y val="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0B-4ECC-9304-521A1239ED0F}"/>
                </c:ext>
              </c:extLst>
            </c:dLbl>
            <c:dLbl>
              <c:idx val="4"/>
              <c:layout>
                <c:manualLayout>
                  <c:x val="-0.10714285714285711"/>
                  <c:y val="2.2753128555176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F0B-4ECC-9304-521A1239ED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JUL_2024!$C$28:$C$32</c:f>
              <c:numCache>
                <c:formatCode>General</c:formatCode>
                <c:ptCount val="5"/>
              </c:numCache>
            </c:numRef>
          </c:cat>
          <c:val>
            <c:numRef>
              <c:f>JUL_2024!$E$28:$E$32</c:f>
              <c:numCache>
                <c:formatCode>_-[$R$-416]\ * #,##0.00_-;\-[$R$-416]\ * #,##0.00_-;_-[$R$-416]\ 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9F0B-4ECC-9304-521A1239ED0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Como Sua Renda Está</a:t>
            </a:r>
            <a:r>
              <a:rPr lang="pt-BR" baseline="0"/>
              <a:t> Dividida</a:t>
            </a:r>
          </a:p>
          <a:p>
            <a:pPr>
              <a:defRPr/>
            </a:pPr>
            <a:endParaRPr lang="pt-BR"/>
          </a:p>
        </c:rich>
      </c:tx>
      <c:layout>
        <c:manualLayout>
          <c:xMode val="edge"/>
          <c:yMode val="edge"/>
          <c:x val="0.6074231619923914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541-4667-8944-11E4DCB40227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541-4667-8944-11E4DCB40227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541-4667-8944-11E4DCB40227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541-4667-8944-11E4DCB40227}"/>
              </c:ext>
            </c:extLst>
          </c:dPt>
          <c:dLbls>
            <c:dLbl>
              <c:idx val="0"/>
              <c:layout>
                <c:manualLayout>
                  <c:x val="4.7940074906367043E-2"/>
                  <c:y val="-8.7431693989071038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41-4667-8944-11E4DCB40227}"/>
                </c:ext>
              </c:extLst>
            </c:dLbl>
            <c:dLbl>
              <c:idx val="1"/>
              <c:layout>
                <c:manualLayout>
                  <c:x val="2.9962546816479401E-2"/>
                  <c:y val="-3.27868852459016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80223539473296"/>
                      <c:h val="0.174601092896174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541-4667-8944-11E4DCB40227}"/>
                </c:ext>
              </c:extLst>
            </c:dLbl>
            <c:dLbl>
              <c:idx val="2"/>
              <c:layout>
                <c:manualLayout>
                  <c:x val="-8.8637649324822737E-2"/>
                  <c:y val="7.2645380754599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2724716152054029"/>
                      <c:h val="0.285996643862140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541-4667-8944-11E4DCB40227}"/>
                </c:ext>
              </c:extLst>
            </c:dLbl>
            <c:dLbl>
              <c:idx val="3"/>
              <c:layout>
                <c:manualLayout>
                  <c:x val="-7.7902621722846455E-2"/>
                  <c:y val="-0.1661202185792349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41-4667-8944-11E4DCB402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AGO_2024!$C$38:$C$41</c:f>
              <c:strCache>
                <c:ptCount val="4"/>
                <c:pt idx="0">
                  <c:v> Fixos </c:v>
                </c:pt>
                <c:pt idx="1">
                  <c:v> Variados Essenciais </c:v>
                </c:pt>
                <c:pt idx="2">
                  <c:v> Variados Não Essenciais </c:v>
                </c:pt>
                <c:pt idx="3">
                  <c:v> Restante </c:v>
                </c:pt>
              </c:strCache>
            </c:strRef>
          </c:cat>
          <c:val>
            <c:numRef>
              <c:f>AGO_2024!$E$38:$E$41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41-4667-8944-11E4DCB4022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69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Seus Gastos Não Essenciais</a:t>
            </a:r>
          </a:p>
        </c:rich>
      </c:tx>
      <c:layout>
        <c:manualLayout>
          <c:xMode val="edge"/>
          <c:yMode val="edge"/>
          <c:x val="0.38156988188976376"/>
          <c:y val="2.73037542662116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E085C2"/>
            </a:solidFill>
          </c:spPr>
          <c:dPt>
            <c:idx val="0"/>
            <c:bubble3D val="0"/>
            <c:spPr>
              <a:solidFill>
                <a:srgbClr val="FF8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BE6-4CE8-B65F-BEDB2BCD90D8}"/>
              </c:ext>
            </c:extLst>
          </c:dPt>
          <c:dPt>
            <c:idx val="1"/>
            <c:bubble3D val="0"/>
            <c:spPr>
              <a:solidFill>
                <a:srgbClr val="FF4D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BE6-4CE8-B65F-BEDB2BCD90D8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BE6-4CE8-B65F-BEDB2BCD90D8}"/>
              </c:ext>
            </c:extLst>
          </c:dPt>
          <c:dPt>
            <c:idx val="3"/>
            <c:bubble3D val="0"/>
            <c:spPr>
              <a:solidFill>
                <a:srgbClr val="CC00CC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BE6-4CE8-B65F-BEDB2BCD90D8}"/>
              </c:ext>
            </c:extLst>
          </c:dPt>
          <c:dPt>
            <c:idx val="4"/>
            <c:bubble3D val="0"/>
            <c:spPr>
              <a:solidFill>
                <a:srgbClr val="FFB3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BE6-4CE8-B65F-BEDB2BCD90D8}"/>
              </c:ext>
            </c:extLst>
          </c:dPt>
          <c:dLbls>
            <c:dLbl>
              <c:idx val="0"/>
              <c:layout>
                <c:manualLayout>
                  <c:x val="1.7857142857142856E-2"/>
                  <c:y val="9.101251422070534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E6-4CE8-B65F-BEDB2BCD90D8}"/>
                </c:ext>
              </c:extLst>
            </c:dLbl>
            <c:dLbl>
              <c:idx val="1"/>
              <c:layout>
                <c:manualLayout>
                  <c:x val="8.9285714285714281E-3"/>
                  <c:y val="-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E6-4CE8-B65F-BEDB2BCD90D8}"/>
                </c:ext>
              </c:extLst>
            </c:dLbl>
            <c:dLbl>
              <c:idx val="2"/>
              <c:layout>
                <c:manualLayout>
                  <c:x val="1.1904761904761795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BE6-4CE8-B65F-BEDB2BCD90D8}"/>
                </c:ext>
              </c:extLst>
            </c:dLbl>
            <c:dLbl>
              <c:idx val="3"/>
              <c:layout>
                <c:manualLayout>
                  <c:x val="-1.785714285714287E-2"/>
                  <c:y val="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E6-4CE8-B65F-BEDB2BCD90D8}"/>
                </c:ext>
              </c:extLst>
            </c:dLbl>
            <c:dLbl>
              <c:idx val="4"/>
              <c:layout>
                <c:manualLayout>
                  <c:x val="-0.10714285714285711"/>
                  <c:y val="2.2753128555176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BE6-4CE8-B65F-BEDB2BCD90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AGO_2024!$C$28:$C$32</c:f>
              <c:numCache>
                <c:formatCode>General</c:formatCode>
                <c:ptCount val="5"/>
              </c:numCache>
            </c:numRef>
          </c:cat>
          <c:val>
            <c:numRef>
              <c:f>AGO_2024!$E$28:$E$32</c:f>
              <c:numCache>
                <c:formatCode>_-[$R$-416]\ * #,##0.00_-;\-[$R$-416]\ * #,##0.00_-;_-[$R$-416]\ 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CBE6-4CE8-B65F-BEDB2BCD90D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Como Sua Renda Está</a:t>
            </a:r>
            <a:r>
              <a:rPr lang="pt-BR" baseline="0"/>
              <a:t> Dividida</a:t>
            </a:r>
          </a:p>
          <a:p>
            <a:pPr>
              <a:defRPr/>
            </a:pPr>
            <a:endParaRPr lang="pt-BR"/>
          </a:p>
        </c:rich>
      </c:tx>
      <c:layout>
        <c:manualLayout>
          <c:xMode val="edge"/>
          <c:yMode val="edge"/>
          <c:x val="0.6074231619923914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954-415E-A7F6-7131ABF6AF4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954-415E-A7F6-7131ABF6AF4E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954-415E-A7F6-7131ABF6AF4E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954-415E-A7F6-7131ABF6AF4E}"/>
              </c:ext>
            </c:extLst>
          </c:dPt>
          <c:dLbls>
            <c:dLbl>
              <c:idx val="0"/>
              <c:layout>
                <c:manualLayout>
                  <c:x val="4.7940074906367043E-2"/>
                  <c:y val="-8.7431693989071038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954-415E-A7F6-7131ABF6AF4E}"/>
                </c:ext>
              </c:extLst>
            </c:dLbl>
            <c:dLbl>
              <c:idx val="1"/>
              <c:layout>
                <c:manualLayout>
                  <c:x val="2.9962546816479401E-2"/>
                  <c:y val="-3.27868852459016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80223539473296"/>
                      <c:h val="0.174601092896174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9954-415E-A7F6-7131ABF6AF4E}"/>
                </c:ext>
              </c:extLst>
            </c:dLbl>
            <c:dLbl>
              <c:idx val="2"/>
              <c:layout>
                <c:manualLayout>
                  <c:x val="-8.8637649324822737E-2"/>
                  <c:y val="7.2645380754599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2724716152054029"/>
                      <c:h val="0.285996643862140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9954-415E-A7F6-7131ABF6AF4E}"/>
                </c:ext>
              </c:extLst>
            </c:dLbl>
            <c:dLbl>
              <c:idx val="3"/>
              <c:layout>
                <c:manualLayout>
                  <c:x val="-7.7902621722846455E-2"/>
                  <c:y val="-0.1661202185792349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954-415E-A7F6-7131ABF6AF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SET_2024!$C$38:$C$41</c:f>
              <c:strCache>
                <c:ptCount val="4"/>
                <c:pt idx="0">
                  <c:v> Fixos </c:v>
                </c:pt>
                <c:pt idx="1">
                  <c:v> Variados Essenciais </c:v>
                </c:pt>
                <c:pt idx="2">
                  <c:v> Variados Não Essenciais </c:v>
                </c:pt>
                <c:pt idx="3">
                  <c:v> Restante </c:v>
                </c:pt>
              </c:strCache>
            </c:strRef>
          </c:cat>
          <c:val>
            <c:numRef>
              <c:f>SET_2024!$E$38:$E$41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954-415E-A7F6-7131ABF6AF4E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69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Seus Gastos Não Essenciais</a:t>
            </a:r>
          </a:p>
        </c:rich>
      </c:tx>
      <c:layout>
        <c:manualLayout>
          <c:xMode val="edge"/>
          <c:yMode val="edge"/>
          <c:x val="0.38156988188976376"/>
          <c:y val="2.73037542662116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E085C2"/>
            </a:solidFill>
          </c:spPr>
          <c:dPt>
            <c:idx val="0"/>
            <c:bubble3D val="0"/>
            <c:spPr>
              <a:solidFill>
                <a:srgbClr val="FF8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DA6-4E5C-9080-BAD3B0B807B4}"/>
              </c:ext>
            </c:extLst>
          </c:dPt>
          <c:dPt>
            <c:idx val="1"/>
            <c:bubble3D val="0"/>
            <c:spPr>
              <a:solidFill>
                <a:srgbClr val="FF4D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DA6-4E5C-9080-BAD3B0B807B4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DA6-4E5C-9080-BAD3B0B807B4}"/>
              </c:ext>
            </c:extLst>
          </c:dPt>
          <c:dPt>
            <c:idx val="3"/>
            <c:bubble3D val="0"/>
            <c:spPr>
              <a:solidFill>
                <a:srgbClr val="CC00CC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DA6-4E5C-9080-BAD3B0B807B4}"/>
              </c:ext>
            </c:extLst>
          </c:dPt>
          <c:dPt>
            <c:idx val="4"/>
            <c:bubble3D val="0"/>
            <c:spPr>
              <a:solidFill>
                <a:srgbClr val="FFB3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DA6-4E5C-9080-BAD3B0B807B4}"/>
              </c:ext>
            </c:extLst>
          </c:dPt>
          <c:dLbls>
            <c:dLbl>
              <c:idx val="0"/>
              <c:layout>
                <c:manualLayout>
                  <c:x val="1.7857142857142856E-2"/>
                  <c:y val="9.101251422070534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DA6-4E5C-9080-BAD3B0B807B4}"/>
                </c:ext>
              </c:extLst>
            </c:dLbl>
            <c:dLbl>
              <c:idx val="1"/>
              <c:layout>
                <c:manualLayout>
                  <c:x val="8.9285714285714281E-3"/>
                  <c:y val="-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DA6-4E5C-9080-BAD3B0B807B4}"/>
                </c:ext>
              </c:extLst>
            </c:dLbl>
            <c:dLbl>
              <c:idx val="2"/>
              <c:layout>
                <c:manualLayout>
                  <c:x val="1.1904761904761795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DA6-4E5C-9080-BAD3B0B807B4}"/>
                </c:ext>
              </c:extLst>
            </c:dLbl>
            <c:dLbl>
              <c:idx val="3"/>
              <c:layout>
                <c:manualLayout>
                  <c:x val="-1.785714285714287E-2"/>
                  <c:y val="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DA6-4E5C-9080-BAD3B0B807B4}"/>
                </c:ext>
              </c:extLst>
            </c:dLbl>
            <c:dLbl>
              <c:idx val="4"/>
              <c:layout>
                <c:manualLayout>
                  <c:x val="-0.10714285714285711"/>
                  <c:y val="2.2753128555176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DA6-4E5C-9080-BAD3B0B807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SET_2024!$C$28:$C$32</c:f>
              <c:numCache>
                <c:formatCode>General</c:formatCode>
                <c:ptCount val="5"/>
              </c:numCache>
            </c:numRef>
          </c:cat>
          <c:val>
            <c:numRef>
              <c:f>SET_2024!$E$28:$E$32</c:f>
              <c:numCache>
                <c:formatCode>_-[$R$-416]\ * #,##0.00_-;\-[$R$-416]\ * #,##0.00_-;_-[$R$-416]\ 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DDA6-4E5C-9080-BAD3B0B807B4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Como Sua Renda Está</a:t>
            </a:r>
            <a:r>
              <a:rPr lang="pt-BR" baseline="0"/>
              <a:t> Dividida</a:t>
            </a:r>
          </a:p>
          <a:p>
            <a:pPr>
              <a:defRPr/>
            </a:pPr>
            <a:endParaRPr lang="pt-BR"/>
          </a:p>
        </c:rich>
      </c:tx>
      <c:layout>
        <c:manualLayout>
          <c:xMode val="edge"/>
          <c:yMode val="edge"/>
          <c:x val="0.6074231619923914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F0A-457D-A23E-A68D8AFFCE26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F0A-457D-A23E-A68D8AFFCE26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F0A-457D-A23E-A68D8AFFCE26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F0A-457D-A23E-A68D8AFFCE26}"/>
              </c:ext>
            </c:extLst>
          </c:dPt>
          <c:dLbls>
            <c:dLbl>
              <c:idx val="0"/>
              <c:layout>
                <c:manualLayout>
                  <c:x val="4.7940074906367043E-2"/>
                  <c:y val="-8.7431693989071038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F0A-457D-A23E-A68D8AFFCE26}"/>
                </c:ext>
              </c:extLst>
            </c:dLbl>
            <c:dLbl>
              <c:idx val="1"/>
              <c:layout>
                <c:manualLayout>
                  <c:x val="2.9962546816479401E-2"/>
                  <c:y val="-3.27868852459016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80223539473296"/>
                      <c:h val="0.174601092896174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F0A-457D-A23E-A68D8AFFCE26}"/>
                </c:ext>
              </c:extLst>
            </c:dLbl>
            <c:dLbl>
              <c:idx val="2"/>
              <c:layout>
                <c:manualLayout>
                  <c:x val="-8.8637649324822737E-2"/>
                  <c:y val="7.2645380754599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2724716152054029"/>
                      <c:h val="0.285996643862140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F0A-457D-A23E-A68D8AFFCE26}"/>
                </c:ext>
              </c:extLst>
            </c:dLbl>
            <c:dLbl>
              <c:idx val="3"/>
              <c:layout>
                <c:manualLayout>
                  <c:x val="-7.7902621722846455E-2"/>
                  <c:y val="-0.1661202185792349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F0A-457D-A23E-A68D8AFFCE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OUT_2024!$C$38:$C$41</c:f>
              <c:strCache>
                <c:ptCount val="4"/>
                <c:pt idx="0">
                  <c:v> Fixos </c:v>
                </c:pt>
                <c:pt idx="1">
                  <c:v> Variados Essenciais </c:v>
                </c:pt>
                <c:pt idx="2">
                  <c:v> Variados Não Essenciais </c:v>
                </c:pt>
                <c:pt idx="3">
                  <c:v> Restante </c:v>
                </c:pt>
              </c:strCache>
            </c:strRef>
          </c:cat>
          <c:val>
            <c:numRef>
              <c:f>OUT_2024!$E$38:$E$41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F0A-457D-A23E-A68D8AFFCE2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69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Seus Gastos Não Essenciais</a:t>
            </a:r>
          </a:p>
        </c:rich>
      </c:tx>
      <c:layout>
        <c:manualLayout>
          <c:xMode val="edge"/>
          <c:yMode val="edge"/>
          <c:x val="0.38156988188976376"/>
          <c:y val="2.73037542662116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E085C2"/>
            </a:solidFill>
          </c:spPr>
          <c:dPt>
            <c:idx val="0"/>
            <c:bubble3D val="0"/>
            <c:spPr>
              <a:solidFill>
                <a:srgbClr val="FF8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EF5-4FDA-BFFA-798175B72E9C}"/>
              </c:ext>
            </c:extLst>
          </c:dPt>
          <c:dPt>
            <c:idx val="1"/>
            <c:bubble3D val="0"/>
            <c:spPr>
              <a:solidFill>
                <a:srgbClr val="FF4D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EF5-4FDA-BFFA-798175B72E9C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EF5-4FDA-BFFA-798175B72E9C}"/>
              </c:ext>
            </c:extLst>
          </c:dPt>
          <c:dPt>
            <c:idx val="3"/>
            <c:bubble3D val="0"/>
            <c:spPr>
              <a:solidFill>
                <a:srgbClr val="CC00CC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EF5-4FDA-BFFA-798175B72E9C}"/>
              </c:ext>
            </c:extLst>
          </c:dPt>
          <c:dPt>
            <c:idx val="4"/>
            <c:bubble3D val="0"/>
            <c:spPr>
              <a:solidFill>
                <a:srgbClr val="FFB3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EF5-4FDA-BFFA-798175B72E9C}"/>
              </c:ext>
            </c:extLst>
          </c:dPt>
          <c:dLbls>
            <c:dLbl>
              <c:idx val="0"/>
              <c:layout>
                <c:manualLayout>
                  <c:x val="1.7857142857142856E-2"/>
                  <c:y val="9.101251422070534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EF5-4FDA-BFFA-798175B72E9C}"/>
                </c:ext>
              </c:extLst>
            </c:dLbl>
            <c:dLbl>
              <c:idx val="1"/>
              <c:layout>
                <c:manualLayout>
                  <c:x val="8.9285714285714281E-3"/>
                  <c:y val="-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F5-4FDA-BFFA-798175B72E9C}"/>
                </c:ext>
              </c:extLst>
            </c:dLbl>
            <c:dLbl>
              <c:idx val="2"/>
              <c:layout>
                <c:manualLayout>
                  <c:x val="1.1904761904761795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F5-4FDA-BFFA-798175B72E9C}"/>
                </c:ext>
              </c:extLst>
            </c:dLbl>
            <c:dLbl>
              <c:idx val="3"/>
              <c:layout>
                <c:manualLayout>
                  <c:x val="-1.785714285714287E-2"/>
                  <c:y val="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F5-4FDA-BFFA-798175B72E9C}"/>
                </c:ext>
              </c:extLst>
            </c:dLbl>
            <c:dLbl>
              <c:idx val="4"/>
              <c:layout>
                <c:manualLayout>
                  <c:x val="-0.10714285714285711"/>
                  <c:y val="2.2753128555176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F5-4FDA-BFFA-798175B72E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OUT_2024!$C$28:$C$32</c:f>
              <c:numCache>
                <c:formatCode>General</c:formatCode>
                <c:ptCount val="5"/>
              </c:numCache>
            </c:numRef>
          </c:cat>
          <c:val>
            <c:numRef>
              <c:f>OUT_2024!$E$28:$E$32</c:f>
              <c:numCache>
                <c:formatCode>_-[$R$-416]\ * #,##0.00_-;\-[$R$-416]\ * #,##0.00_-;_-[$R$-416]\ 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CEF5-4FDA-BFFA-798175B72E9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Como Sua Renda Está</a:t>
            </a:r>
            <a:r>
              <a:rPr lang="pt-BR" baseline="0"/>
              <a:t> Dividida</a:t>
            </a:r>
          </a:p>
          <a:p>
            <a:pPr>
              <a:defRPr/>
            </a:pPr>
            <a:endParaRPr lang="pt-BR"/>
          </a:p>
        </c:rich>
      </c:tx>
      <c:layout>
        <c:manualLayout>
          <c:xMode val="edge"/>
          <c:yMode val="edge"/>
          <c:x val="0.6074231619923914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B6D-45B3-9570-C7E45B59BFD1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6D-45B3-9570-C7E45B59BFD1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6D-45B3-9570-C7E45B59BFD1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B6D-45B3-9570-C7E45B59BFD1}"/>
              </c:ext>
            </c:extLst>
          </c:dPt>
          <c:dLbls>
            <c:dLbl>
              <c:idx val="0"/>
              <c:layout>
                <c:manualLayout>
                  <c:x val="4.7940074906367043E-2"/>
                  <c:y val="-8.7431693989071038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B6D-45B3-9570-C7E45B59BFD1}"/>
                </c:ext>
              </c:extLst>
            </c:dLbl>
            <c:dLbl>
              <c:idx val="1"/>
              <c:layout>
                <c:manualLayout>
                  <c:x val="2.9962546816479401E-2"/>
                  <c:y val="-3.27868852459016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80223539473296"/>
                      <c:h val="0.174601092896174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FB6D-45B3-9570-C7E45B59BFD1}"/>
                </c:ext>
              </c:extLst>
            </c:dLbl>
            <c:dLbl>
              <c:idx val="2"/>
              <c:layout>
                <c:manualLayout>
                  <c:x val="-8.8637649324822737E-2"/>
                  <c:y val="7.2645380754599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2724716152054029"/>
                      <c:h val="0.285996643862140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B6D-45B3-9570-C7E45B59BFD1}"/>
                </c:ext>
              </c:extLst>
            </c:dLbl>
            <c:dLbl>
              <c:idx val="3"/>
              <c:layout>
                <c:manualLayout>
                  <c:x val="-7.7902621722846455E-2"/>
                  <c:y val="-0.1661202185792349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6D-45B3-9570-C7E45B59BF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NOV_2024!$C$38:$C$41</c:f>
              <c:strCache>
                <c:ptCount val="4"/>
                <c:pt idx="0">
                  <c:v> Fixos </c:v>
                </c:pt>
                <c:pt idx="1">
                  <c:v> Variados Essenciais </c:v>
                </c:pt>
                <c:pt idx="2">
                  <c:v> Variados Não Essenciais </c:v>
                </c:pt>
                <c:pt idx="3">
                  <c:v> Restante </c:v>
                </c:pt>
              </c:strCache>
            </c:strRef>
          </c:cat>
          <c:val>
            <c:numRef>
              <c:f>NOV_2024!$E$38:$E$41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6D-45B3-9570-C7E45B59BFD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69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Seus Gastos Não Essenciais</a:t>
            </a:r>
          </a:p>
        </c:rich>
      </c:tx>
      <c:layout>
        <c:manualLayout>
          <c:xMode val="edge"/>
          <c:yMode val="edge"/>
          <c:x val="0.38156988188976376"/>
          <c:y val="2.73037542662116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E085C2"/>
            </a:solidFill>
          </c:spPr>
          <c:dPt>
            <c:idx val="0"/>
            <c:bubble3D val="0"/>
            <c:spPr>
              <a:solidFill>
                <a:srgbClr val="FF8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11E-4D43-BE3C-50D30DC3ACA3}"/>
              </c:ext>
            </c:extLst>
          </c:dPt>
          <c:dPt>
            <c:idx val="1"/>
            <c:bubble3D val="0"/>
            <c:spPr>
              <a:solidFill>
                <a:srgbClr val="FF4D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11E-4D43-BE3C-50D30DC3ACA3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11E-4D43-BE3C-50D30DC3ACA3}"/>
              </c:ext>
            </c:extLst>
          </c:dPt>
          <c:dPt>
            <c:idx val="3"/>
            <c:bubble3D val="0"/>
            <c:spPr>
              <a:solidFill>
                <a:srgbClr val="CC00CC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11E-4D43-BE3C-50D30DC3ACA3}"/>
              </c:ext>
            </c:extLst>
          </c:dPt>
          <c:dPt>
            <c:idx val="4"/>
            <c:bubble3D val="0"/>
            <c:spPr>
              <a:solidFill>
                <a:srgbClr val="FFB3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11E-4D43-BE3C-50D30DC3ACA3}"/>
              </c:ext>
            </c:extLst>
          </c:dPt>
          <c:dLbls>
            <c:dLbl>
              <c:idx val="0"/>
              <c:layout>
                <c:manualLayout>
                  <c:x val="1.7857142857142856E-2"/>
                  <c:y val="9.101251422070534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11E-4D43-BE3C-50D30DC3ACA3}"/>
                </c:ext>
              </c:extLst>
            </c:dLbl>
            <c:dLbl>
              <c:idx val="1"/>
              <c:layout>
                <c:manualLayout>
                  <c:x val="8.9285714285714281E-3"/>
                  <c:y val="-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11E-4D43-BE3C-50D30DC3ACA3}"/>
                </c:ext>
              </c:extLst>
            </c:dLbl>
            <c:dLbl>
              <c:idx val="2"/>
              <c:layout>
                <c:manualLayout>
                  <c:x val="1.1904761904761795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11E-4D43-BE3C-50D30DC3ACA3}"/>
                </c:ext>
              </c:extLst>
            </c:dLbl>
            <c:dLbl>
              <c:idx val="3"/>
              <c:layout>
                <c:manualLayout>
                  <c:x val="-1.785714285714287E-2"/>
                  <c:y val="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11E-4D43-BE3C-50D30DC3ACA3}"/>
                </c:ext>
              </c:extLst>
            </c:dLbl>
            <c:dLbl>
              <c:idx val="4"/>
              <c:layout>
                <c:manualLayout>
                  <c:x val="-0.10714285714285711"/>
                  <c:y val="2.2753128555176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11E-4D43-BE3C-50D30DC3AC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NOV_2024!$C$28:$C$32</c:f>
              <c:numCache>
                <c:formatCode>General</c:formatCode>
                <c:ptCount val="5"/>
              </c:numCache>
            </c:numRef>
          </c:cat>
          <c:val>
            <c:numRef>
              <c:f>NOV_2024!$E$28:$E$32</c:f>
              <c:numCache>
                <c:formatCode>_-[$R$-416]\ * #,##0.00_-;\-[$R$-416]\ * #,##0.00_-;_-[$R$-416]\ 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211E-4D43-BE3C-50D30DC3ACA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Como Sua Renda Está</a:t>
            </a:r>
            <a:r>
              <a:rPr lang="pt-BR" baseline="0"/>
              <a:t> Dividida</a:t>
            </a:r>
          </a:p>
          <a:p>
            <a:pPr>
              <a:defRPr/>
            </a:pPr>
            <a:endParaRPr lang="pt-BR"/>
          </a:p>
        </c:rich>
      </c:tx>
      <c:layout>
        <c:manualLayout>
          <c:xMode val="edge"/>
          <c:yMode val="edge"/>
          <c:x val="0.6074231619923914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A45-417B-BA63-B0D0C176AF88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A45-417B-BA63-B0D0C176AF88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A45-417B-BA63-B0D0C176AF88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A45-417B-BA63-B0D0C176AF88}"/>
              </c:ext>
            </c:extLst>
          </c:dPt>
          <c:dLbls>
            <c:dLbl>
              <c:idx val="0"/>
              <c:layout>
                <c:manualLayout>
                  <c:x val="4.7940074906367043E-2"/>
                  <c:y val="-8.7431693989071038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A45-417B-BA63-B0D0C176AF88}"/>
                </c:ext>
              </c:extLst>
            </c:dLbl>
            <c:dLbl>
              <c:idx val="1"/>
              <c:layout>
                <c:manualLayout>
                  <c:x val="2.9962546816479401E-2"/>
                  <c:y val="-3.27868852459016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380223539473296"/>
                      <c:h val="0.1746010928961748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A45-417B-BA63-B0D0C176AF88}"/>
                </c:ext>
              </c:extLst>
            </c:dLbl>
            <c:dLbl>
              <c:idx val="2"/>
              <c:layout>
                <c:manualLayout>
                  <c:x val="-8.8637649324822737E-2"/>
                  <c:y val="7.264538075459950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2724716152054029"/>
                      <c:h val="0.285996643862140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0A45-417B-BA63-B0D0C176AF88}"/>
                </c:ext>
              </c:extLst>
            </c:dLbl>
            <c:dLbl>
              <c:idx val="3"/>
              <c:layout>
                <c:manualLayout>
                  <c:x val="-7.7902621722846455E-2"/>
                  <c:y val="-0.16612021857923498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A45-417B-BA63-B0D0C176AF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DEZ_2024!$C$38:$C$41</c:f>
              <c:strCache>
                <c:ptCount val="4"/>
                <c:pt idx="0">
                  <c:v> Fixos </c:v>
                </c:pt>
                <c:pt idx="1">
                  <c:v> Variados Essenciais </c:v>
                </c:pt>
                <c:pt idx="2">
                  <c:v> Variados Não Essenciais </c:v>
                </c:pt>
                <c:pt idx="3">
                  <c:v> Restante </c:v>
                </c:pt>
              </c:strCache>
            </c:strRef>
          </c:cat>
          <c:val>
            <c:numRef>
              <c:f>DEZ_2024!$E$38:$E$41</c:f>
              <c:numCache>
                <c:formatCode>_-[$R$-416]\ * #,##0.00_-;\-[$R$-416]\ * #,##0.00_-;_-[$R$-416]\ * "-"??_-;_-@_-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A45-417B-BA63-B0D0C176AF8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269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Seus Gastos Não Essenciais</a:t>
            </a:r>
          </a:p>
        </c:rich>
      </c:tx>
      <c:layout>
        <c:manualLayout>
          <c:xMode val="edge"/>
          <c:yMode val="edge"/>
          <c:x val="0.38156988188976376"/>
          <c:y val="2.73037542662116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E085C2"/>
            </a:solidFill>
          </c:spPr>
          <c:dPt>
            <c:idx val="0"/>
            <c:bubble3D val="0"/>
            <c:spPr>
              <a:solidFill>
                <a:srgbClr val="FF8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2AC-4979-B7F3-5981AC287896}"/>
              </c:ext>
            </c:extLst>
          </c:dPt>
          <c:dPt>
            <c:idx val="1"/>
            <c:bubble3D val="0"/>
            <c:spPr>
              <a:solidFill>
                <a:srgbClr val="FF4D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2AC-4979-B7F3-5981AC287896}"/>
              </c:ext>
            </c:extLst>
          </c:dPt>
          <c:dPt>
            <c:idx val="2"/>
            <c:bubble3D val="0"/>
            <c:spPr>
              <a:solidFill>
                <a:srgbClr val="FF00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2AC-4979-B7F3-5981AC287896}"/>
              </c:ext>
            </c:extLst>
          </c:dPt>
          <c:dPt>
            <c:idx val="3"/>
            <c:bubble3D val="0"/>
            <c:spPr>
              <a:solidFill>
                <a:srgbClr val="CC00CC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2AC-4979-B7F3-5981AC287896}"/>
              </c:ext>
            </c:extLst>
          </c:dPt>
          <c:dPt>
            <c:idx val="4"/>
            <c:bubble3D val="0"/>
            <c:spPr>
              <a:solidFill>
                <a:srgbClr val="FFB3FF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2AC-4979-B7F3-5981AC287896}"/>
              </c:ext>
            </c:extLst>
          </c:dPt>
          <c:dLbls>
            <c:dLbl>
              <c:idx val="0"/>
              <c:layout>
                <c:manualLayout>
                  <c:x val="1.7857142857142856E-2"/>
                  <c:y val="9.101251422070534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2AC-4979-B7F3-5981AC287896}"/>
                </c:ext>
              </c:extLst>
            </c:dLbl>
            <c:dLbl>
              <c:idx val="1"/>
              <c:layout>
                <c:manualLayout>
                  <c:x val="8.9285714285714281E-3"/>
                  <c:y val="-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AC-4979-B7F3-5981AC287896}"/>
                </c:ext>
              </c:extLst>
            </c:dLbl>
            <c:dLbl>
              <c:idx val="2"/>
              <c:layout>
                <c:manualLayout>
                  <c:x val="1.1904761904761795E-2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2AC-4979-B7F3-5981AC287896}"/>
                </c:ext>
              </c:extLst>
            </c:dLbl>
            <c:dLbl>
              <c:idx val="3"/>
              <c:layout>
                <c:manualLayout>
                  <c:x val="-1.785714285714287E-2"/>
                  <c:y val="1.365187713310580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2AC-4979-B7F3-5981AC287896}"/>
                </c:ext>
              </c:extLst>
            </c:dLbl>
            <c:dLbl>
              <c:idx val="4"/>
              <c:layout>
                <c:manualLayout>
                  <c:x val="-0.10714285714285711"/>
                  <c:y val="2.2753128555176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2AC-4979-B7F3-5981AC2878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DEZ_2024!$C$28:$C$32</c:f>
              <c:numCache>
                <c:formatCode>General</c:formatCode>
                <c:ptCount val="5"/>
              </c:numCache>
            </c:numRef>
          </c:cat>
          <c:val>
            <c:numRef>
              <c:f>DEZ_2024!$E$28:$E$32</c:f>
              <c:numCache>
                <c:formatCode>_-[$R$-416]\ * #,##0.00_-;\-[$R$-416]\ * #,##0.00_-;_-[$R$-416]\ * "-"??_-;_-@_-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A-32AC-4979-B7F3-5981AC28789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0</xdr:rowOff>
    </xdr:from>
    <xdr:to>
      <xdr:col>13</xdr:col>
      <xdr:colOff>600074</xdr:colOff>
      <xdr:row>15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15</xdr:row>
      <xdr:rowOff>9524</xdr:rowOff>
    </xdr:from>
    <xdr:to>
      <xdr:col>14</xdr:col>
      <xdr:colOff>9525</xdr:colOff>
      <xdr:row>28</xdr:row>
      <xdr:rowOff>180974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2</xdr:row>
          <xdr:rowOff>28575</xdr:rowOff>
        </xdr:from>
        <xdr:to>
          <xdr:col>1</xdr:col>
          <xdr:colOff>676275</xdr:colOff>
          <xdr:row>6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Copiar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</xdr:row>
          <xdr:rowOff>171450</xdr:rowOff>
        </xdr:from>
        <xdr:to>
          <xdr:col>20</xdr:col>
          <xdr:colOff>0</xdr:colOff>
          <xdr:row>8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Ocultar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0</xdr:rowOff>
        </xdr:from>
        <xdr:to>
          <xdr:col>19</xdr:col>
          <xdr:colOff>600075</xdr:colOff>
          <xdr:row>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Exibir Gráficos</a:t>
              </a:r>
            </a:p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(use apenas depois de completar a tabela)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0</xdr:rowOff>
    </xdr:from>
    <xdr:to>
      <xdr:col>13</xdr:col>
      <xdr:colOff>600074</xdr:colOff>
      <xdr:row>15</xdr:row>
      <xdr:rowOff>0</xdr:rowOff>
    </xdr:to>
    <xdr:graphicFrame macro="">
      <xdr:nvGraphicFramePr>
        <xdr:cNvPr id="2" name="Gráfico 1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15</xdr:row>
      <xdr:rowOff>9524</xdr:rowOff>
    </xdr:from>
    <xdr:to>
      <xdr:col>14</xdr:col>
      <xdr:colOff>9525</xdr:colOff>
      <xdr:row>28</xdr:row>
      <xdr:rowOff>180974</xdr:rowOff>
    </xdr:to>
    <xdr:graphicFrame macro="">
      <xdr:nvGraphicFramePr>
        <xdr:cNvPr id="3" name="Gráfico 2" hidden="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</xdr:row>
          <xdr:rowOff>180975</xdr:rowOff>
        </xdr:from>
        <xdr:to>
          <xdr:col>20</xdr:col>
          <xdr:colOff>0</xdr:colOff>
          <xdr:row>8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Ocultar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19</xdr:col>
          <xdr:colOff>600075</xdr:colOff>
          <xdr:row>3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Exibir Gráficos</a:t>
              </a:r>
            </a:p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(use apenas depois de completar a tabela)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0</xdr:rowOff>
    </xdr:from>
    <xdr:to>
      <xdr:col>13</xdr:col>
      <xdr:colOff>600074</xdr:colOff>
      <xdr:row>15</xdr:row>
      <xdr:rowOff>0</xdr:rowOff>
    </xdr:to>
    <xdr:graphicFrame macro="">
      <xdr:nvGraphicFramePr>
        <xdr:cNvPr id="2" name="Gráfico 1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15</xdr:row>
      <xdr:rowOff>9524</xdr:rowOff>
    </xdr:from>
    <xdr:to>
      <xdr:col>14</xdr:col>
      <xdr:colOff>9525</xdr:colOff>
      <xdr:row>28</xdr:row>
      <xdr:rowOff>180974</xdr:rowOff>
    </xdr:to>
    <xdr:graphicFrame macro="">
      <xdr:nvGraphicFramePr>
        <xdr:cNvPr id="3" name="Gráfico 2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</xdr:row>
          <xdr:rowOff>180975</xdr:rowOff>
        </xdr:from>
        <xdr:to>
          <xdr:col>20</xdr:col>
          <xdr:colOff>0</xdr:colOff>
          <xdr:row>8</xdr:row>
          <xdr:rowOff>19050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Ocultar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19</xdr:col>
          <xdr:colOff>600075</xdr:colOff>
          <xdr:row>3</xdr:row>
          <xdr:rowOff>190500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Exibir Gráficos</a:t>
              </a:r>
            </a:p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(use apenas depois de completar a tabela)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0</xdr:rowOff>
    </xdr:from>
    <xdr:to>
      <xdr:col>13</xdr:col>
      <xdr:colOff>600074</xdr:colOff>
      <xdr:row>15</xdr:row>
      <xdr:rowOff>0</xdr:rowOff>
    </xdr:to>
    <xdr:graphicFrame macro="">
      <xdr:nvGraphicFramePr>
        <xdr:cNvPr id="2" name="Gráfico 1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15</xdr:row>
      <xdr:rowOff>9524</xdr:rowOff>
    </xdr:from>
    <xdr:to>
      <xdr:col>14</xdr:col>
      <xdr:colOff>9525</xdr:colOff>
      <xdr:row>28</xdr:row>
      <xdr:rowOff>180974</xdr:rowOff>
    </xdr:to>
    <xdr:graphicFrame macro="">
      <xdr:nvGraphicFramePr>
        <xdr:cNvPr id="3" name="Gráfico 2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</xdr:row>
          <xdr:rowOff>180975</xdr:rowOff>
        </xdr:from>
        <xdr:to>
          <xdr:col>20</xdr:col>
          <xdr:colOff>0</xdr:colOff>
          <xdr:row>8</xdr:row>
          <xdr:rowOff>19050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Ocultar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19</xdr:col>
          <xdr:colOff>600075</xdr:colOff>
          <xdr:row>3</xdr:row>
          <xdr:rowOff>190500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5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Exibir Gráficos</a:t>
              </a:r>
            </a:p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(use apenas depois de completar a tabela)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0</xdr:rowOff>
    </xdr:from>
    <xdr:to>
      <xdr:col>13</xdr:col>
      <xdr:colOff>600074</xdr:colOff>
      <xdr:row>15</xdr:row>
      <xdr:rowOff>0</xdr:rowOff>
    </xdr:to>
    <xdr:graphicFrame macro="">
      <xdr:nvGraphicFramePr>
        <xdr:cNvPr id="2" name="Gráfico 1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15</xdr:row>
      <xdr:rowOff>9524</xdr:rowOff>
    </xdr:from>
    <xdr:to>
      <xdr:col>14</xdr:col>
      <xdr:colOff>9525</xdr:colOff>
      <xdr:row>28</xdr:row>
      <xdr:rowOff>180974</xdr:rowOff>
    </xdr:to>
    <xdr:graphicFrame macro="">
      <xdr:nvGraphicFramePr>
        <xdr:cNvPr id="3" name="Gráfico 2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</xdr:row>
          <xdr:rowOff>180975</xdr:rowOff>
        </xdr:from>
        <xdr:to>
          <xdr:col>20</xdr:col>
          <xdr:colOff>0</xdr:colOff>
          <xdr:row>8</xdr:row>
          <xdr:rowOff>19050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Ocultar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19</xdr:col>
          <xdr:colOff>600075</xdr:colOff>
          <xdr:row>3</xdr:row>
          <xdr:rowOff>190500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6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Exibir Gráficos</a:t>
              </a:r>
            </a:p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(use apenas depois de completar a tabela)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0</xdr:rowOff>
    </xdr:from>
    <xdr:to>
      <xdr:col>13</xdr:col>
      <xdr:colOff>600074</xdr:colOff>
      <xdr:row>15</xdr:row>
      <xdr:rowOff>0</xdr:rowOff>
    </xdr:to>
    <xdr:graphicFrame macro="">
      <xdr:nvGraphicFramePr>
        <xdr:cNvPr id="2" name="Gráfico 1" hidden="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15</xdr:row>
      <xdr:rowOff>9524</xdr:rowOff>
    </xdr:from>
    <xdr:to>
      <xdr:col>14</xdr:col>
      <xdr:colOff>9525</xdr:colOff>
      <xdr:row>28</xdr:row>
      <xdr:rowOff>180974</xdr:rowOff>
    </xdr:to>
    <xdr:graphicFrame macro="">
      <xdr:nvGraphicFramePr>
        <xdr:cNvPr id="3" name="Gráfico 2" hidden="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</xdr:row>
          <xdr:rowOff>180975</xdr:rowOff>
        </xdr:from>
        <xdr:to>
          <xdr:col>20</xdr:col>
          <xdr:colOff>0</xdr:colOff>
          <xdr:row>8</xdr:row>
          <xdr:rowOff>19050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Ocultar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19</xdr:col>
          <xdr:colOff>600075</xdr:colOff>
          <xdr:row>3</xdr:row>
          <xdr:rowOff>190500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Exibir Gráficos</a:t>
              </a:r>
            </a:p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(use apenas depois de completar a tabela)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0</xdr:rowOff>
    </xdr:from>
    <xdr:to>
      <xdr:col>13</xdr:col>
      <xdr:colOff>600074</xdr:colOff>
      <xdr:row>15</xdr:row>
      <xdr:rowOff>0</xdr:rowOff>
    </xdr:to>
    <xdr:graphicFrame macro="">
      <xdr:nvGraphicFramePr>
        <xdr:cNvPr id="2" name="Gráfico 1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15</xdr:row>
      <xdr:rowOff>9524</xdr:rowOff>
    </xdr:from>
    <xdr:to>
      <xdr:col>14</xdr:col>
      <xdr:colOff>9525</xdr:colOff>
      <xdr:row>28</xdr:row>
      <xdr:rowOff>180974</xdr:rowOff>
    </xdr:to>
    <xdr:graphicFrame macro="">
      <xdr:nvGraphicFramePr>
        <xdr:cNvPr id="3" name="Gráfico 2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</xdr:row>
          <xdr:rowOff>180975</xdr:rowOff>
        </xdr:from>
        <xdr:to>
          <xdr:col>20</xdr:col>
          <xdr:colOff>0</xdr:colOff>
          <xdr:row>8</xdr:row>
          <xdr:rowOff>19050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Ocultar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19</xdr:col>
          <xdr:colOff>600075</xdr:colOff>
          <xdr:row>3</xdr:row>
          <xdr:rowOff>190500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Exibir Gráficos</a:t>
              </a:r>
            </a:p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(use apenas depois de completar a tabela)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0</xdr:rowOff>
    </xdr:from>
    <xdr:to>
      <xdr:col>13</xdr:col>
      <xdr:colOff>600074</xdr:colOff>
      <xdr:row>15</xdr:row>
      <xdr:rowOff>0</xdr:rowOff>
    </xdr:to>
    <xdr:graphicFrame macro="">
      <xdr:nvGraphicFramePr>
        <xdr:cNvPr id="2" name="Gráfico 1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15</xdr:row>
      <xdr:rowOff>9524</xdr:rowOff>
    </xdr:from>
    <xdr:to>
      <xdr:col>14</xdr:col>
      <xdr:colOff>9525</xdr:colOff>
      <xdr:row>28</xdr:row>
      <xdr:rowOff>180974</xdr:rowOff>
    </xdr:to>
    <xdr:graphicFrame macro="">
      <xdr:nvGraphicFramePr>
        <xdr:cNvPr id="3" name="Gráfico 2" hidden="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</xdr:row>
          <xdr:rowOff>180975</xdr:rowOff>
        </xdr:from>
        <xdr:to>
          <xdr:col>20</xdr:col>
          <xdr:colOff>0</xdr:colOff>
          <xdr:row>8</xdr:row>
          <xdr:rowOff>19050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9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Ocultar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19</xdr:col>
          <xdr:colOff>600075</xdr:colOff>
          <xdr:row>3</xdr:row>
          <xdr:rowOff>190500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9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Exibir Gráficos</a:t>
              </a:r>
            </a:p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(use apenas depois de completar a tabela)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0</xdr:rowOff>
    </xdr:from>
    <xdr:to>
      <xdr:col>13</xdr:col>
      <xdr:colOff>600074</xdr:colOff>
      <xdr:row>15</xdr:row>
      <xdr:rowOff>0</xdr:rowOff>
    </xdr:to>
    <xdr:graphicFrame macro="">
      <xdr:nvGraphicFramePr>
        <xdr:cNvPr id="2" name="Gráfico 1" hidden="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15</xdr:row>
      <xdr:rowOff>9524</xdr:rowOff>
    </xdr:from>
    <xdr:to>
      <xdr:col>14</xdr:col>
      <xdr:colOff>9525</xdr:colOff>
      <xdr:row>28</xdr:row>
      <xdr:rowOff>180974</xdr:rowOff>
    </xdr:to>
    <xdr:graphicFrame macro="">
      <xdr:nvGraphicFramePr>
        <xdr:cNvPr id="3" name="Gráfico 2" hidden="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</xdr:row>
          <xdr:rowOff>180975</xdr:rowOff>
        </xdr:from>
        <xdr:to>
          <xdr:col>20</xdr:col>
          <xdr:colOff>0</xdr:colOff>
          <xdr:row>8</xdr:row>
          <xdr:rowOff>19050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A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Ocultar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19</xdr:col>
          <xdr:colOff>600075</xdr:colOff>
          <xdr:row>3</xdr:row>
          <xdr:rowOff>190500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A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Exibir Gráficos</a:t>
              </a:r>
            </a:p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(use apenas depois de completar a tabela)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0</xdr:rowOff>
    </xdr:from>
    <xdr:to>
      <xdr:col>13</xdr:col>
      <xdr:colOff>600074</xdr:colOff>
      <xdr:row>15</xdr:row>
      <xdr:rowOff>0</xdr:rowOff>
    </xdr:to>
    <xdr:graphicFrame macro="">
      <xdr:nvGraphicFramePr>
        <xdr:cNvPr id="2" name="Gráfico 1" hidden="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15</xdr:row>
      <xdr:rowOff>9524</xdr:rowOff>
    </xdr:from>
    <xdr:to>
      <xdr:col>14</xdr:col>
      <xdr:colOff>9525</xdr:colOff>
      <xdr:row>28</xdr:row>
      <xdr:rowOff>180974</xdr:rowOff>
    </xdr:to>
    <xdr:graphicFrame macro="">
      <xdr:nvGraphicFramePr>
        <xdr:cNvPr id="3" name="Gráfico 2" hidden="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</xdr:row>
          <xdr:rowOff>180975</xdr:rowOff>
        </xdr:from>
        <xdr:to>
          <xdr:col>20</xdr:col>
          <xdr:colOff>0</xdr:colOff>
          <xdr:row>8</xdr:row>
          <xdr:rowOff>19050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B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Ocultar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19</xdr:col>
          <xdr:colOff>600075</xdr:colOff>
          <xdr:row>3</xdr:row>
          <xdr:rowOff>190500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B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Exibir Gráficos</a:t>
              </a:r>
            </a:p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(use apenas depois de completar a tabela)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0</xdr:rowOff>
    </xdr:from>
    <xdr:to>
      <xdr:col>13</xdr:col>
      <xdr:colOff>600074</xdr:colOff>
      <xdr:row>15</xdr:row>
      <xdr:rowOff>0</xdr:rowOff>
    </xdr:to>
    <xdr:graphicFrame macro="">
      <xdr:nvGraphicFramePr>
        <xdr:cNvPr id="2" name="Gráfico 1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15</xdr:row>
      <xdr:rowOff>9524</xdr:rowOff>
    </xdr:from>
    <xdr:to>
      <xdr:col>14</xdr:col>
      <xdr:colOff>9525</xdr:colOff>
      <xdr:row>28</xdr:row>
      <xdr:rowOff>180974</xdr:rowOff>
    </xdr:to>
    <xdr:graphicFrame macro="">
      <xdr:nvGraphicFramePr>
        <xdr:cNvPr id="3" name="Gráfico 2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</xdr:row>
          <xdr:rowOff>180975</xdr:rowOff>
        </xdr:from>
        <xdr:to>
          <xdr:col>20</xdr:col>
          <xdr:colOff>0</xdr:colOff>
          <xdr:row>8</xdr:row>
          <xdr:rowOff>19050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Ocultar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19</xdr:col>
          <xdr:colOff>600075</xdr:colOff>
          <xdr:row>3</xdr:row>
          <xdr:rowOff>190500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C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Exibir Gráficos</a:t>
              </a:r>
            </a:p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(use apenas depois de completar a tabela)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0</xdr:rowOff>
    </xdr:from>
    <xdr:to>
      <xdr:col>13</xdr:col>
      <xdr:colOff>600074</xdr:colOff>
      <xdr:row>15</xdr:row>
      <xdr:rowOff>0</xdr:rowOff>
    </xdr:to>
    <xdr:graphicFrame macro="">
      <xdr:nvGraphicFramePr>
        <xdr:cNvPr id="2" name="Gráfico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15</xdr:row>
      <xdr:rowOff>9524</xdr:rowOff>
    </xdr:from>
    <xdr:to>
      <xdr:col>14</xdr:col>
      <xdr:colOff>9525</xdr:colOff>
      <xdr:row>28</xdr:row>
      <xdr:rowOff>180974</xdr:rowOff>
    </xdr:to>
    <xdr:graphicFrame macro="">
      <xdr:nvGraphicFramePr>
        <xdr:cNvPr id="3" name="Gráfico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</xdr:row>
          <xdr:rowOff>180975</xdr:rowOff>
        </xdr:from>
        <xdr:to>
          <xdr:col>20</xdr:col>
          <xdr:colOff>0</xdr:colOff>
          <xdr:row>8</xdr:row>
          <xdr:rowOff>19050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Ocultar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19</xdr:col>
          <xdr:colOff>600075</xdr:colOff>
          <xdr:row>3</xdr:row>
          <xdr:rowOff>190500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D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Exibir Gráficos</a:t>
              </a:r>
            </a:p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(use apenas depois de completar a tabela)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0</xdr:rowOff>
    </xdr:from>
    <xdr:to>
      <xdr:col>13</xdr:col>
      <xdr:colOff>600074</xdr:colOff>
      <xdr:row>15</xdr:row>
      <xdr:rowOff>0</xdr:rowOff>
    </xdr:to>
    <xdr:graphicFrame macro="">
      <xdr:nvGraphicFramePr>
        <xdr:cNvPr id="2" name="Gráfico 1" hidden="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15</xdr:row>
      <xdr:rowOff>9524</xdr:rowOff>
    </xdr:from>
    <xdr:to>
      <xdr:col>14</xdr:col>
      <xdr:colOff>9525</xdr:colOff>
      <xdr:row>28</xdr:row>
      <xdr:rowOff>180974</xdr:rowOff>
    </xdr:to>
    <xdr:graphicFrame macro="">
      <xdr:nvGraphicFramePr>
        <xdr:cNvPr id="3" name="Gráfico 2" hidden="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3</xdr:row>
          <xdr:rowOff>180975</xdr:rowOff>
        </xdr:from>
        <xdr:to>
          <xdr:col>20</xdr:col>
          <xdr:colOff>0</xdr:colOff>
          <xdr:row>8</xdr:row>
          <xdr:rowOff>19050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Ocultar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19</xdr:col>
          <xdr:colOff>600075</xdr:colOff>
          <xdr:row>3</xdr:row>
          <xdr:rowOff>190500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E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Exibir Gráficos</a:t>
              </a:r>
            </a:p>
            <a:p>
              <a:pPr algn="ctr" rtl="0">
                <a:defRPr sz="1000"/>
              </a:pPr>
              <a:r>
                <a:rPr lang="pt-BR" sz="1200" b="1" i="1" u="none" strike="noStrike" baseline="0">
                  <a:solidFill>
                    <a:srgbClr val="FF00FF"/>
                  </a:solidFill>
                  <a:latin typeface="Arial"/>
                  <a:cs typeface="Arial"/>
                </a:rPr>
                <a:t>(use apenas depois de completar a tabela)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F61A4F-1F75-4FC2-87C5-D7DFB394AD58}" name="GastosFixos" displayName="GastosFixos" ref="B10:F15" totalsRowShown="0">
  <tableColumns count="5">
    <tableColumn id="1" xr3:uid="{06D748C9-6057-4B73-8679-FB8F6B895DEF}" name="Data" dataDxfId="465"/>
    <tableColumn id="2" xr3:uid="{5A0FCE5C-B9E9-4835-8B1A-B1E3FFB368BF}" name="Nome" dataDxfId="464"/>
    <tableColumn id="3" xr3:uid="{F81BED8F-3F39-419C-A4BB-A592A45DDDC5}" name="Tipo" dataDxfId="463"/>
    <tableColumn id="4" xr3:uid="{39EF133C-6D54-4DE0-99E9-8219BF5B0F8A}" name="Valor" dataDxfId="462"/>
    <tableColumn id="5" xr3:uid="{83147C2C-4A23-4B2D-9697-7DB2DEEC9C69}" name="Pago?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E29529-CF92-4127-ABC0-B7B4C5A1AF6D}" name="GastosVariadosEssenciais" displayName="GastosVariadosEssenciais" ref="B19:F23" totalsRowShown="0">
  <tableColumns count="5">
    <tableColumn id="1" xr3:uid="{A553BCAA-A4F6-4B68-94C5-F824E4816E72}" name="Data" dataDxfId="461">
      <calculatedColumnFormula>TODAY()</calculatedColumnFormula>
    </tableColumn>
    <tableColumn id="2" xr3:uid="{D31FAC92-9553-4408-966F-2624BC3B8E96}" name="Nome" dataDxfId="460"/>
    <tableColumn id="3" xr3:uid="{D9D3605F-DA21-4F6A-A623-8EC9B54CB01C}" name="Tipo" dataDxfId="459"/>
    <tableColumn id="4" xr3:uid="{3888867C-C2AF-4F1C-B482-B8015EDF5EB1}" name="Valor" dataDxfId="458"/>
    <tableColumn id="5" xr3:uid="{085295DF-4559-4A82-A08D-CBD8AD2ABE89}" name="Pago?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AE513A-8CE1-41B6-B9B8-6576A1B01B47}" name="GastosVariadosNãoEssenciais" displayName="GastosVariadosNãoEssenciais" ref="B27:F32" totalsRowShown="0">
  <tableColumns count="5">
    <tableColumn id="1" xr3:uid="{BAECEE34-AA64-4374-AB51-599D1916663C}" name="Data" dataDxfId="457"/>
    <tableColumn id="2" xr3:uid="{26E887A2-2D3A-447A-AB7A-3FBB7EF22316}" name="Nome" dataDxfId="456"/>
    <tableColumn id="3" xr3:uid="{79D49828-E78D-4E5D-8972-FDB54E8A0469}" name="Tipo" dataDxfId="455"/>
    <tableColumn id="4" xr3:uid="{25072253-3777-411B-BE4B-8CE0862685D7}" name="Valor" dataDxfId="454"/>
    <tableColumn id="5" xr3:uid="{06CC4076-9E5F-47C4-B537-B06F6FE22F7C}" name="Pago?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DF7AF3A-64F6-4D0E-B810-0F47EC73E623}" name="Entrada" displayName="Entrada" ref="C3:E6" totalsRowShown="0" headerRowDxfId="453" dataDxfId="452">
  <tableColumns count="3">
    <tableColumn id="2" xr3:uid="{58CFDA8D-97BA-4A0C-965E-14DB35C490BE}" name="Nome" dataDxfId="451"/>
    <tableColumn id="3" xr3:uid="{E10A1525-5922-4DAC-987B-35D9F02D5D67}" name="Tipo" dataDxfId="450"/>
    <tableColumn id="4" xr3:uid="{15FEF485-41B3-4194-A2B3-C1B3F3F4CA38}" name="Valor" dataDxfId="44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52BC2D5-CA30-4D06-9CBE-0343AA50C29D}" name="Tabela7" displayName="Tabela7" ref="C36:E41" totalsRowShown="0" dataDxfId="448">
  <tableColumns count="3">
    <tableColumn id="1" xr3:uid="{24FC62C6-89A8-480A-A0ED-0D9B0D6EE3CF}" name="Entrada ou Saída" dataDxfId="447"/>
    <tableColumn id="2" xr3:uid="{D03F9556-DD9E-4DCE-BCDF-0A6C39BC1559}" name=" " dataDxfId="446"/>
    <tableColumn id="4" xr3:uid="{A71C48C9-FA38-4256-B59F-53A506F84E07}" name="Valor" dataDxfId="445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D1EE61-6FE8-42F3-8566-88493C1596E6}" name="GastosFixos7" displayName="GastosFixos7" ref="B10:F15" totalsRowShown="0">
  <tableColumns count="5">
    <tableColumn id="1" xr3:uid="{02F94198-B931-4B70-8F90-2BE199A6697E}" name="Data" dataDxfId="429"/>
    <tableColumn id="2" xr3:uid="{5F47392C-E92F-4CAA-8EBB-39FA5AD42E63}" name="Nome" dataDxfId="428"/>
    <tableColumn id="3" xr3:uid="{B56EF582-547D-4E3A-80D1-616F3BE56D44}" name="Tipo" dataDxfId="427"/>
    <tableColumn id="4" xr3:uid="{12DD5E9C-3425-4461-9F4C-E65F68E0D5E0}" name="Valor" dataDxfId="426"/>
    <tableColumn id="5" xr3:uid="{9CE8874F-E743-44C6-A159-977367158DB6}" name="Pago?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60F5AA-EAFF-4641-BFF2-EC714E343996}" name="GastosVariadosEssenciais9" displayName="GastosVariadosEssenciais9" ref="B19:F23" totalsRowShown="0">
  <tableColumns count="5">
    <tableColumn id="1" xr3:uid="{129206BA-2507-409D-8751-D3E49E3A4309}" name="Data" dataDxfId="425">
      <calculatedColumnFormula>TODAY()</calculatedColumnFormula>
    </tableColumn>
    <tableColumn id="2" xr3:uid="{7C41EDC3-EB21-426D-B5B1-F9A5001B542F}" name="Nome" dataDxfId="424"/>
    <tableColumn id="3" xr3:uid="{1D9F070E-FD7E-496F-BD46-8B084C5C7BC1}" name="Tipo" dataDxfId="423"/>
    <tableColumn id="4" xr3:uid="{BE923742-F979-4FCB-AAC7-5D91C2BD2A34}" name="Valor" dataDxfId="422"/>
    <tableColumn id="5" xr3:uid="{CB2171F9-8D00-42DB-A332-4487C92F2F67}" name="Pago?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AB4785C-862B-4A20-9E97-71967E8CCAFF}" name="GastosVariadosNãoEssenciais10" displayName="GastosVariadosNãoEssenciais10" ref="B27:F32" totalsRowShown="0">
  <tableColumns count="5">
    <tableColumn id="1" xr3:uid="{19D7360F-D2F1-48CD-9A65-776670A57FCA}" name="Data" dataDxfId="421"/>
    <tableColumn id="2" xr3:uid="{72B56FAB-58D6-4C5F-9751-F191622B9284}" name="Nome" dataDxfId="420"/>
    <tableColumn id="3" xr3:uid="{108463C3-F4C9-4987-AE24-7620534B4A86}" name="Tipo" dataDxfId="419"/>
    <tableColumn id="4" xr3:uid="{39CCAC54-D3BC-4DC8-9928-BA88B3042082}" name="Valor" dataDxfId="418"/>
    <tableColumn id="5" xr3:uid="{854993C5-94FA-4729-9F50-44486B95A95D}" name="Pago?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695B58C-AF48-4178-9AE8-B253E4302E0E}" name="Entrada11" displayName="Entrada11" ref="C3:E6" totalsRowShown="0" headerRowDxfId="417" dataDxfId="416">
  <tableColumns count="3">
    <tableColumn id="2" xr3:uid="{CC1DCF88-0575-41F5-A651-C7B1FED0772E}" name="Nome" dataDxfId="415"/>
    <tableColumn id="3" xr3:uid="{EAF75223-8DA0-4EB3-96A3-5AD1CE191AFA}" name="Tipo" dataDxfId="414"/>
    <tableColumn id="4" xr3:uid="{49766724-2598-4EF3-AA04-6B9EB1F3A99C}" name="Valor" dataDxfId="413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50088F-7335-4EB2-99BE-D02E9C78E674}" name="Tabela712" displayName="Tabela712" ref="C36:E41" totalsRowShown="0" dataDxfId="412">
  <tableColumns count="3">
    <tableColumn id="1" xr3:uid="{1B96CD51-9EEE-49F1-953C-E3F84C4AA582}" name="Entrada ou Saída" dataDxfId="411"/>
    <tableColumn id="2" xr3:uid="{784B16F8-F077-49D3-B489-9A36509DEC47}" name=" " dataDxfId="410"/>
    <tableColumn id="4" xr3:uid="{46FE56A9-31C9-4DC4-980D-1AA3C1C80853}" name="Valor" dataDxfId="409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43ED5F8C-8332-4A38-B761-A7C0F805F077}" name="GastosFixos7188" displayName="GastosFixos7188" ref="B10:F15" totalsRowShown="0">
  <tableColumns count="5">
    <tableColumn id="1" xr3:uid="{7364358E-EC02-4E19-B974-20498BA6ADBA}" name="Data" dataDxfId="393"/>
    <tableColumn id="2" xr3:uid="{38216B69-8F0F-4B0F-8B3E-D5AE9C3CB2FB}" name="Nome" dataDxfId="392"/>
    <tableColumn id="3" xr3:uid="{B31CCBF6-7593-4782-A907-9A0F46803AE6}" name="Tipo" dataDxfId="391"/>
    <tableColumn id="4" xr3:uid="{A42FCC5C-002E-4B29-922D-78525DB20C4C}" name="Valor" dataDxfId="390"/>
    <tableColumn id="5" xr3:uid="{0C857AD0-8CE7-41F1-A462-23BEB9E9F1E2}" name="Pago?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18D8FADD-F3BF-4E68-9176-CB6BB4D8B24F}" name="GastosVariadosEssenciais9189" displayName="GastosVariadosEssenciais9189" ref="B19:F23" totalsRowShown="0">
  <tableColumns count="5">
    <tableColumn id="1" xr3:uid="{9FBDC31E-543F-4EF1-BA94-56FBB4D87545}" name="Data" dataDxfId="389">
      <calculatedColumnFormula>TODAY()</calculatedColumnFormula>
    </tableColumn>
    <tableColumn id="2" xr3:uid="{A33ED28E-00F8-4238-9BCE-CDD94623C5A5}" name="Nome" dataDxfId="388"/>
    <tableColumn id="3" xr3:uid="{9E6FB68F-63D0-41FD-9A85-9573D9808D37}" name="Tipo" dataDxfId="387"/>
    <tableColumn id="4" xr3:uid="{16337857-0BDC-448D-B672-DD88243CA192}" name="Valor" dataDxfId="386"/>
    <tableColumn id="5" xr3:uid="{0EA46DA8-5331-4081-A050-57C64296B7C9}" name="Pago?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3E03DA8D-35F8-4D3A-99E5-EA321C2CF15A}" name="GastosVariadosNãoEssenciais10190" displayName="GastosVariadosNãoEssenciais10190" ref="B27:F32" totalsRowShown="0">
  <tableColumns count="5">
    <tableColumn id="1" xr3:uid="{6188A517-A9C5-43DE-BB7D-F6DFB832991C}" name="Data" dataDxfId="385"/>
    <tableColumn id="2" xr3:uid="{CA6F9890-53FC-466A-8A52-890AAC8DFDB4}" name="Nome" dataDxfId="384"/>
    <tableColumn id="3" xr3:uid="{ECACD52F-ED6D-4B67-B7AA-06752F8725C5}" name="Tipo" dataDxfId="383"/>
    <tableColumn id="4" xr3:uid="{F28B3FA3-6246-49B7-967B-77F892A679D8}" name="Valor" dataDxfId="382"/>
    <tableColumn id="5" xr3:uid="{893B5E6C-0AF8-44AB-9F05-5C9BF9DA3C73}" name="Pago?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B0F65F57-0C9F-4047-B34C-5951FF9D35F4}" name="Entrada11191" displayName="Entrada11191" ref="C3:E6" totalsRowShown="0" headerRowDxfId="381" dataDxfId="380">
  <tableColumns count="3">
    <tableColumn id="2" xr3:uid="{6C58D22B-CA61-4BFF-A564-DBD58B3FF9A6}" name="Nome" dataDxfId="379"/>
    <tableColumn id="3" xr3:uid="{7CF1CA53-500B-4AB0-853D-D97729191D3D}" name="Tipo" dataDxfId="378"/>
    <tableColumn id="4" xr3:uid="{BC39A256-B792-4F56-A9ED-78FEE7FF00C6}" name="Valor" dataDxfId="377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21BF3733-0AD6-4716-A7B6-1E36731373A2}" name="Tabela712192" displayName="Tabela712192" ref="C36:E41" totalsRowShown="0" dataDxfId="376">
  <tableColumns count="3">
    <tableColumn id="1" xr3:uid="{538EFE2F-5841-41AB-B195-131F9EF40689}" name="Entrada ou Saída" dataDxfId="375"/>
    <tableColumn id="2" xr3:uid="{BC5047A0-3384-4A8B-BF03-D39A21FBF6C5}" name=" " dataDxfId="374"/>
    <tableColumn id="4" xr3:uid="{DD93D193-30EA-41C5-8105-24C3662CBCE5}" name="Valor" dataDxfId="373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301CC23E-9E75-435F-AF4C-9D02CC71FBCC}" name="GastosFixos7188193" displayName="GastosFixos7188193" ref="B10:F15" totalsRowShown="0">
  <tableColumns count="5">
    <tableColumn id="1" xr3:uid="{159F500D-7CE2-45FE-B0B8-4F4448D4C570}" name="Data" dataDxfId="357"/>
    <tableColumn id="2" xr3:uid="{3E8F7651-B3C4-4E2B-AE5E-B046C7F4C58C}" name="Nome" dataDxfId="356"/>
    <tableColumn id="3" xr3:uid="{A4AEB92D-5084-4410-9D25-A28610D64AA9}" name="Tipo" dataDxfId="355"/>
    <tableColumn id="4" xr3:uid="{8C1AAFD3-C4BF-4150-AF33-97A146847D5D}" name="Valor" dataDxfId="354"/>
    <tableColumn id="5" xr3:uid="{7194BDAA-419D-48F1-B30D-A22DD6465384}" name="Pago?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EEF26598-2BD5-41C6-A8E6-FBF813F56853}" name="GastosVariadosEssenciais9189194" displayName="GastosVariadosEssenciais9189194" ref="B19:F23" totalsRowShown="0">
  <tableColumns count="5">
    <tableColumn id="1" xr3:uid="{F54D037A-BA1C-44F7-B2A9-71783A335E0C}" name="Data" dataDxfId="353">
      <calculatedColumnFormula>TODAY()</calculatedColumnFormula>
    </tableColumn>
    <tableColumn id="2" xr3:uid="{D2B4809D-A109-4EF5-A545-8350B2E5F900}" name="Nome" dataDxfId="352"/>
    <tableColumn id="3" xr3:uid="{233605AA-B1FD-4DD7-905B-D64CBB7385FA}" name="Tipo" dataDxfId="351"/>
    <tableColumn id="4" xr3:uid="{83D6C464-B399-4AFE-9BF4-8FE17ED432A5}" name="Valor" dataDxfId="350"/>
    <tableColumn id="5" xr3:uid="{8EA62A04-D5B4-4BD1-B7F8-580EDBFB62C2}" name="Pago?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47AF1898-2897-442C-9BCC-ABAC1D214AD0}" name="GastosVariadosNãoEssenciais10190195" displayName="GastosVariadosNãoEssenciais10190195" ref="B27:F32" totalsRowShown="0">
  <tableColumns count="5">
    <tableColumn id="1" xr3:uid="{B77DC27B-71E0-4E51-80A4-2B23F0D4974B}" name="Data" dataDxfId="349"/>
    <tableColumn id="2" xr3:uid="{03B8ACBC-229B-447D-B118-CE29CB640463}" name="Nome" dataDxfId="348"/>
    <tableColumn id="3" xr3:uid="{B47318C9-91D1-43BA-B71A-44A4A723CEE1}" name="Tipo" dataDxfId="347"/>
    <tableColumn id="4" xr3:uid="{23E665D7-E340-468C-A839-C0628A1428EC}" name="Valor" dataDxfId="346"/>
    <tableColumn id="5" xr3:uid="{A18575AF-4FB6-4A4D-A7BC-ED953C3DD729}" name="Pago?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407CDB29-7F4E-455F-9460-63FE131B7B7E}" name="Entrada11191196" displayName="Entrada11191196" ref="C3:E6" totalsRowShown="0" headerRowDxfId="345" dataDxfId="344">
  <tableColumns count="3">
    <tableColumn id="2" xr3:uid="{A5F9F15B-F881-4277-85F7-55CBD82028CB}" name="Nome" dataDxfId="343"/>
    <tableColumn id="3" xr3:uid="{ABE20BE9-28E7-4449-B50A-834E0EA70CC3}" name="Tipo" dataDxfId="342"/>
    <tableColumn id="4" xr3:uid="{DA6FB85D-5746-4C4E-9A1B-50DA0DA7B35E}" name="Valor" dataDxfId="341"/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9DD2EE36-C988-4832-B1DB-A1CCF59A8BF7}" name="Tabela712192197" displayName="Tabela712192197" ref="C36:E41" totalsRowShown="0" dataDxfId="340">
  <tableColumns count="3">
    <tableColumn id="1" xr3:uid="{7604D553-8861-4653-878C-E32250742A4B}" name="Entrada ou Saída" dataDxfId="339"/>
    <tableColumn id="2" xr3:uid="{B6572C68-7EAA-46AF-87D3-09984ABE4946}" name=" " dataDxfId="338"/>
    <tableColumn id="4" xr3:uid="{9A97EE52-718C-4D9C-954E-BFCD518ABC6C}" name="Valor" dataDxfId="337"/>
  </tableColumns>
  <tableStyleInfo name="TableStyleLight8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2AD019F5-4A9D-4561-A03F-4DCD8BE20D0E}" name="GastosFixos7188193198" displayName="GastosFixos7188193198" ref="B10:F15" totalsRowShown="0">
  <tableColumns count="5">
    <tableColumn id="1" xr3:uid="{0BB9A028-24E7-440C-BF0E-403D6D1CD4C2}" name="Data" dataDxfId="321"/>
    <tableColumn id="2" xr3:uid="{5CE5A4A7-DAF3-4B12-86F6-262A144D7D19}" name="Nome" dataDxfId="320"/>
    <tableColumn id="3" xr3:uid="{FD88F9F8-6D90-474B-B117-D6B5658200CF}" name="Tipo" dataDxfId="319"/>
    <tableColumn id="4" xr3:uid="{E863D89C-A185-4213-B465-616CE84EA75D}" name="Valor" dataDxfId="318"/>
    <tableColumn id="5" xr3:uid="{1BE4095B-9753-4E32-B7FF-70A7AFCF2161}" name="Pago?"/>
  </tableColumns>
  <tableStyleInfo name="TableStyleLight8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A1172C6B-8930-48B2-AE45-A5A8642DD54E}" name="GastosVariadosEssenciais9189194199" displayName="GastosVariadosEssenciais9189194199" ref="B19:F23" totalsRowShown="0">
  <tableColumns count="5">
    <tableColumn id="1" xr3:uid="{C9C1CFB8-7390-4B28-89AB-F893BA496423}" name="Data" dataDxfId="317">
      <calculatedColumnFormula>TODAY()</calculatedColumnFormula>
    </tableColumn>
    <tableColumn id="2" xr3:uid="{CE74A75C-DAC3-4ECE-98B2-638F64C68F6B}" name="Nome" dataDxfId="316"/>
    <tableColumn id="3" xr3:uid="{31338B23-A459-4FD9-B876-8D9E6B564196}" name="Tipo" dataDxfId="315"/>
    <tableColumn id="4" xr3:uid="{D53E7F70-F467-4DBF-9CF6-9FF859CF2F01}" name="Valor" dataDxfId="314"/>
    <tableColumn id="5" xr3:uid="{43ACB73C-D430-49E9-9A6D-702CA21703D5}" name="Pago?"/>
  </tableColumns>
  <tableStyleInfo name="TableStyleLight8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5BA85384-CDDE-46AA-B49E-DD61A482439D}" name="GastosVariadosNãoEssenciais10190195200" displayName="GastosVariadosNãoEssenciais10190195200" ref="B27:F32" totalsRowShown="0">
  <tableColumns count="5">
    <tableColumn id="1" xr3:uid="{998D773D-B1DF-415D-822D-909D57ECD0EE}" name="Data" dataDxfId="313"/>
    <tableColumn id="2" xr3:uid="{3D2077F1-301E-496F-B5D9-9DD4B653808A}" name="Nome" dataDxfId="312"/>
    <tableColumn id="3" xr3:uid="{5030684F-4832-4A26-92A7-2493D567E5A0}" name="Tipo" dataDxfId="311"/>
    <tableColumn id="4" xr3:uid="{02A7E5DF-FEEC-47BD-958A-26086F0236F5}" name="Valor" dataDxfId="310"/>
    <tableColumn id="5" xr3:uid="{61A98B9A-7E26-4E3F-9424-0338B7B5BC1F}" name="Pago?"/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74C217F0-477E-4384-A673-9FE67ABEAF27}" name="Entrada11191196201" displayName="Entrada11191196201" ref="C3:E6" totalsRowShown="0" headerRowDxfId="309" dataDxfId="308">
  <tableColumns count="3">
    <tableColumn id="2" xr3:uid="{4C6F53B5-480C-470D-AA1C-3CB1E869600B}" name="Nome" dataDxfId="307"/>
    <tableColumn id="3" xr3:uid="{46E24443-A834-4837-99C6-FAF4AEAB648C}" name="Tipo" dataDxfId="306"/>
    <tableColumn id="4" xr3:uid="{B3FB76F3-9F61-4D69-818D-E52F3CB8E569}" name="Valor" dataDxfId="305"/>
  </tableColumns>
  <tableStyleInfo name="TableStyleLight8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151715D0-DA9D-4C8D-9CCA-484E40321876}" name="Tabela712192197202" displayName="Tabela712192197202" ref="C36:E41" totalsRowShown="0" dataDxfId="304">
  <tableColumns count="3">
    <tableColumn id="1" xr3:uid="{3BF84EE1-5FF3-44B1-933A-02E38434621C}" name="Entrada ou Saída" dataDxfId="303"/>
    <tableColumn id="2" xr3:uid="{EEF098C4-0D31-44AD-AA9E-137219B25874}" name=" " dataDxfId="302"/>
    <tableColumn id="4" xr3:uid="{A8DF9C06-53C0-4E17-B0EF-E66063066B67}" name="Valor" dataDxfId="301"/>
  </tableColumns>
  <tableStyleInfo name="TableStyleLight8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57C92D78-C096-457A-B096-1A9E759F892A}" name="GastosFixos7188193198203208" displayName="GastosFixos7188193198203208" ref="B10:F15" totalsRowShown="0">
  <tableColumns count="5">
    <tableColumn id="1" xr3:uid="{98BEF6FF-60F9-4C18-B2E3-93781170AAF9}" name="Data" dataDxfId="285"/>
    <tableColumn id="2" xr3:uid="{CF34277C-EB27-4039-A76D-CEDEA4772882}" name="Nome" dataDxfId="284"/>
    <tableColumn id="3" xr3:uid="{3736B401-DFCC-448B-9E87-543A48421ADF}" name="Tipo" dataDxfId="283"/>
    <tableColumn id="4" xr3:uid="{AA9BE273-C072-4F95-A6C1-6C2A44087092}" name="Valor" dataDxfId="282"/>
    <tableColumn id="5" xr3:uid="{26C0AB37-38A0-44D6-AD5E-61B57AC533AA}" name="Pago?"/>
  </tableColumns>
  <tableStyleInfo name="TableStyleLight8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430A854F-0DB6-4247-A4CC-45184761D0C1}" name="GastosVariadosEssenciais9189194199204209" displayName="GastosVariadosEssenciais9189194199204209" ref="B19:F23" totalsRowShown="0">
  <tableColumns count="5">
    <tableColumn id="1" xr3:uid="{8591686D-A9BB-40F9-A303-85090E239990}" name="Data" dataDxfId="281">
      <calculatedColumnFormula>TODAY()</calculatedColumnFormula>
    </tableColumn>
    <tableColumn id="2" xr3:uid="{3661F5A4-E2CF-44D5-9D7B-3D35191466E2}" name="Nome" dataDxfId="280"/>
    <tableColumn id="3" xr3:uid="{1C5BD0D3-9A46-46C2-B849-469CAC04BF47}" name="Tipo" dataDxfId="279"/>
    <tableColumn id="4" xr3:uid="{A13B7485-537F-45E5-B699-33F6B787FB31}" name="Valor" dataDxfId="278"/>
    <tableColumn id="5" xr3:uid="{6B4E46DE-FDE7-4BF5-BCCB-3835ED39FC63}" name="Pago?"/>
  </tableColumns>
  <tableStyleInfo name="TableStyleLight8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05FA7F47-9BB9-4340-9D47-E27217D3517F}" name="GastosVariadosNãoEssenciais10190195200205210" displayName="GastosVariadosNãoEssenciais10190195200205210" ref="B27:F32" totalsRowShown="0">
  <tableColumns count="5">
    <tableColumn id="1" xr3:uid="{CA46E5E3-0255-49E1-B8BC-78E5FF9FF702}" name="Data" dataDxfId="277"/>
    <tableColumn id="2" xr3:uid="{D9BE2E44-7CFF-4FB4-82E4-621E75A1B61C}" name="Nome" dataDxfId="276"/>
    <tableColumn id="3" xr3:uid="{EE810A4A-2FC7-4C94-B4E2-C648E3482A49}" name="Tipo" dataDxfId="275"/>
    <tableColumn id="4" xr3:uid="{C606C09F-11BE-4D2E-B61F-51405790B98E}" name="Valor" dataDxfId="274"/>
    <tableColumn id="5" xr3:uid="{541D1BF7-CC5F-4937-B665-98460B31C7DD}" name="Pago?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DD0FC923-A76D-493E-965F-573C2B7B2D7B}" name="Entrada11191196201206211" displayName="Entrada11191196201206211" ref="C3:E6" totalsRowShown="0" headerRowDxfId="273" dataDxfId="272">
  <tableColumns count="3">
    <tableColumn id="2" xr3:uid="{8707AD19-DDD2-4B42-ADBB-D161A81B75C4}" name="Nome" dataDxfId="271"/>
    <tableColumn id="3" xr3:uid="{968625A0-2E6D-4500-982D-789F27B2EF80}" name="Tipo" dataDxfId="270"/>
    <tableColumn id="4" xr3:uid="{98585791-DF76-4A13-869A-A2CDF6AA70A0}" name="Valor" dataDxfId="269"/>
  </tableColumns>
  <tableStyleInfo name="TableStyleLight8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C3DF08BC-F252-4A3E-A54B-856E82B3A75B}" name="Tabela712192197202207212" displayName="Tabela712192197202207212" ref="C36:E41" totalsRowShown="0" dataDxfId="268">
  <tableColumns count="3">
    <tableColumn id="1" xr3:uid="{1C8C0517-7E87-483B-91E6-B023F1C3D7F1}" name="Entrada ou Saída" dataDxfId="267"/>
    <tableColumn id="2" xr3:uid="{81154AD6-67C3-4278-A578-D7C6C1453789}" name=" " dataDxfId="266"/>
    <tableColumn id="4" xr3:uid="{EFB962C6-6DA6-4CC8-95EA-27BA73B62832}" name="Valor" dataDxfId="265"/>
  </tableColumns>
  <tableStyleInfo name="TableStyleLight8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B9DB7D44-2A8C-42AB-9F67-71E66E42F22F}" name="GastosFixos7188193198203" displayName="GastosFixos7188193198203" ref="B10:F15" totalsRowShown="0">
  <tableColumns count="5">
    <tableColumn id="1" xr3:uid="{4FF742CD-389A-4E33-A11F-7A7B08DCFC15}" name="Data" dataDxfId="249"/>
    <tableColumn id="2" xr3:uid="{1FE0FCA7-B640-4F15-9F68-FC67FE2394F4}" name="Nome" dataDxfId="248"/>
    <tableColumn id="3" xr3:uid="{595C6021-5D5D-4DE2-8963-87C6D1B9BAE3}" name="Tipo" dataDxfId="247"/>
    <tableColumn id="4" xr3:uid="{9DB25238-D0EC-4941-9CD2-C0B90339FF79}" name="Valor" dataDxfId="246"/>
    <tableColumn id="5" xr3:uid="{AC596F5C-2F31-45F2-A782-5CE9E24BE264}" name="Pago?"/>
  </tableColumns>
  <tableStyleInfo name="TableStyleLight8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A31B4EC7-7C90-4F15-ACDF-96A5A3A3EC46}" name="GastosVariadosEssenciais9189194199204" displayName="GastosVariadosEssenciais9189194199204" ref="B19:F23" totalsRowShown="0">
  <tableColumns count="5">
    <tableColumn id="1" xr3:uid="{DA695A60-2E4A-4C8B-8769-492FE7A8D8F7}" name="Data" dataDxfId="245">
      <calculatedColumnFormula>TODAY()</calculatedColumnFormula>
    </tableColumn>
    <tableColumn id="2" xr3:uid="{045F251F-BFD4-426A-9D49-6FD46CAE6286}" name="Nome" dataDxfId="244"/>
    <tableColumn id="3" xr3:uid="{3F20DB3F-A82E-4FB5-83F7-5909F7310CB1}" name="Tipo" dataDxfId="243"/>
    <tableColumn id="4" xr3:uid="{431405C7-0C52-4D6F-B4B1-14D1146B5748}" name="Valor" dataDxfId="242"/>
    <tableColumn id="5" xr3:uid="{B5018C49-B9A4-46CF-8874-E24C6D632AD8}" name="Pago?"/>
  </tableColumns>
  <tableStyleInfo name="TableStyleLight8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00D48C30-9C63-4C84-B674-3B714B6E7103}" name="GastosVariadosNãoEssenciais10190195200205" displayName="GastosVariadosNãoEssenciais10190195200205" ref="B27:F32" totalsRowShown="0">
  <tableColumns count="5">
    <tableColumn id="1" xr3:uid="{69DF77AF-AD4B-47A0-AD0B-C7ECE84D6A40}" name="Data" dataDxfId="241"/>
    <tableColumn id="2" xr3:uid="{A396BA87-512E-46C9-98B3-7716132AC20B}" name="Nome" dataDxfId="240"/>
    <tableColumn id="3" xr3:uid="{9E2E3B26-7D03-4291-BAD0-2E78CF3CFD26}" name="Tipo" dataDxfId="239"/>
    <tableColumn id="4" xr3:uid="{FFE2960B-FEA9-4F2B-89F8-5301E63AA2B5}" name="Valor" dataDxfId="238"/>
    <tableColumn id="5" xr3:uid="{2DFD83D4-5803-4881-9983-AB9B24032B0B}" name="Pago?"/>
  </tableColumns>
  <tableStyleInfo name="TableStyleLight8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318C9A39-0F22-47FF-A965-3F2A011C68EE}" name="Entrada11191196201206" displayName="Entrada11191196201206" ref="C3:E6" totalsRowShown="0" headerRowDxfId="237" dataDxfId="236">
  <tableColumns count="3">
    <tableColumn id="2" xr3:uid="{89943256-3519-4CC2-9B07-9E8B7B89B044}" name="Nome" dataDxfId="235"/>
    <tableColumn id="3" xr3:uid="{1F8D837A-5444-423C-806A-B5C6B918598C}" name="Tipo" dataDxfId="234"/>
    <tableColumn id="4" xr3:uid="{0E62840D-90E9-4854-A173-D337C60039D9}" name="Valor" dataDxfId="233"/>
  </tableColumns>
  <tableStyleInfo name="TableStyleLight8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B5A95664-4653-4075-92BE-EA959156550F}" name="Tabela712192197202207" displayName="Tabela712192197202207" ref="C36:E41" totalsRowShown="0" dataDxfId="232">
  <tableColumns count="3">
    <tableColumn id="1" xr3:uid="{C0F4DD02-13A2-41EF-B73A-0997E2A3E6CC}" name="Entrada ou Saída" dataDxfId="231"/>
    <tableColumn id="2" xr3:uid="{C785EC05-49A4-4F19-AFF5-6CD84A6F5BE4}" name=" " dataDxfId="230"/>
    <tableColumn id="4" xr3:uid="{B434E999-A6B0-49F6-B484-B9A0A4F8B161}" name="Valor" dataDxfId="229"/>
  </tableColumns>
  <tableStyleInfo name="TableStyleLight8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0D95C7C1-A2A0-4CDC-8321-2DFEAC107957}" name="GastosFixos7188193198203213" displayName="GastosFixos7188193198203213" ref="B10:F15" totalsRowShown="0">
  <tableColumns count="5">
    <tableColumn id="1" xr3:uid="{5C8052F9-25DA-41C4-8316-135376858736}" name="Data" dataDxfId="213"/>
    <tableColumn id="2" xr3:uid="{2E3EE925-C881-4DBA-819B-C3A442855064}" name="Nome" dataDxfId="212"/>
    <tableColumn id="3" xr3:uid="{BDE71767-C02A-4070-A50C-414B94FAB8F2}" name="Tipo" dataDxfId="211"/>
    <tableColumn id="4" xr3:uid="{F2442A3E-C201-4310-A76F-CABC722A4F9B}" name="Valor" dataDxfId="210"/>
    <tableColumn id="5" xr3:uid="{75D44D4B-12F4-4566-91C6-686AEC2889EC}" name="Pago?"/>
  </tableColumns>
  <tableStyleInfo name="TableStyleLight8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8A54ABA8-8115-4FEF-83F5-751C71B097A4}" name="GastosVariadosEssenciais9189194199204214" displayName="GastosVariadosEssenciais9189194199204214" ref="B19:F23" totalsRowShown="0">
  <tableColumns count="5">
    <tableColumn id="1" xr3:uid="{FC9D02E8-9AAA-41A3-95DC-EF243601DC27}" name="Data" dataDxfId="209">
      <calculatedColumnFormula>TODAY()</calculatedColumnFormula>
    </tableColumn>
    <tableColumn id="2" xr3:uid="{959BD580-8908-41EE-AF5E-9868B9B62157}" name="Nome" dataDxfId="208"/>
    <tableColumn id="3" xr3:uid="{2D6A1AF0-EECC-4F82-A9CE-5CC3B8E0F126}" name="Tipo" dataDxfId="207"/>
    <tableColumn id="4" xr3:uid="{5F42B3EE-C33F-4183-B366-B8EC25A3EE13}" name="Valor" dataDxfId="206"/>
    <tableColumn id="5" xr3:uid="{194CC82B-B276-43C2-9747-177B0742DC32}" name="Pago?"/>
  </tableColumns>
  <tableStyleInfo name="TableStyleLight8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8B675964-D200-40C0-AC50-5D8CB99A98DA}" name="GastosVariadosNãoEssenciais10190195200205215" displayName="GastosVariadosNãoEssenciais10190195200205215" ref="B27:F32" totalsRowShown="0">
  <tableColumns count="5">
    <tableColumn id="1" xr3:uid="{6F3D1BD0-32A0-4BAE-A252-23B182367F42}" name="Data" dataDxfId="205"/>
    <tableColumn id="2" xr3:uid="{F8BB4D43-EC85-41AF-A647-FAA44612B535}" name="Nome" dataDxfId="204"/>
    <tableColumn id="3" xr3:uid="{E5F4982D-57C6-4F8E-8C0D-299C02CC23BD}" name="Tipo" dataDxfId="203"/>
    <tableColumn id="4" xr3:uid="{E5E76AD8-9168-4317-9686-D293897104F6}" name="Valor" dataDxfId="202"/>
    <tableColumn id="5" xr3:uid="{C0DAF3B4-7839-4BF2-8FEB-EE4BEC0443BE}" name="Pago?"/>
  </tableColumns>
  <tableStyleInfo name="TableStyleLight8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90E4069A-A325-4D27-BFAF-59D6D77C0E31}" name="Entrada11191196201206216" displayName="Entrada11191196201206216" ref="C3:E6" totalsRowShown="0" headerRowDxfId="201" dataDxfId="200">
  <tableColumns count="3">
    <tableColumn id="2" xr3:uid="{4DD2483B-A7CF-453B-9159-7F33AEF2191E}" name="Nome" dataDxfId="199"/>
    <tableColumn id="3" xr3:uid="{C1D96626-9235-4603-9C8A-F0C517FB929B}" name="Tipo" dataDxfId="198"/>
    <tableColumn id="4" xr3:uid="{E3E54E61-6C79-46F8-BFAA-A918CCDF5C54}" name="Valor" dataDxfId="197"/>
  </tableColumns>
  <tableStyleInfo name="TableStyleLight8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920CECD8-A710-4DD9-A640-B11AB70F71FC}" name="Tabela712192197202207217" displayName="Tabela712192197202207217" ref="C36:E41" totalsRowShown="0" dataDxfId="196">
  <tableColumns count="3">
    <tableColumn id="1" xr3:uid="{AECE39C3-31A7-47FC-BAAA-40558BB50E69}" name="Entrada ou Saída" dataDxfId="195"/>
    <tableColumn id="2" xr3:uid="{5FE4B3D7-4209-4FDC-BCCE-CDEDCD1FDF6F}" name=" " dataDxfId="194"/>
    <tableColumn id="4" xr3:uid="{A3A5BF6E-FD13-4360-9E41-5C8E9E5E9060}" name="Valor" dataDxfId="193"/>
  </tableColumns>
  <tableStyleInfo name="TableStyleLight8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E963A4BF-C2E9-48A4-A907-DB1605D62D06}" name="GastosFixos7188193198203213218" displayName="GastosFixos7188193198203213218" ref="B10:F15" totalsRowShown="0">
  <tableColumns count="5">
    <tableColumn id="1" xr3:uid="{C6C283F1-418F-45DD-81FF-FB4A2330AAB4}" name="Data" dataDxfId="177"/>
    <tableColumn id="2" xr3:uid="{55921553-E677-4891-9C56-6460AEA1A258}" name="Nome" dataDxfId="176"/>
    <tableColumn id="3" xr3:uid="{0F7C115C-7E29-45B1-A4DE-B821B3E51A4B}" name="Tipo" dataDxfId="175"/>
    <tableColumn id="4" xr3:uid="{8D89A38B-9CD5-4175-92A6-D2ECA55F4816}" name="Valor" dataDxfId="174"/>
    <tableColumn id="5" xr3:uid="{31FA2846-C5CA-45D9-815F-4AE7359F928D}" name="Pago?"/>
  </tableColumns>
  <tableStyleInfo name="TableStyleLight8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F1985C64-1759-411F-BF3F-C3AB1CD3B142}" name="GastosVariadosEssenciais9189194199204214219" displayName="GastosVariadosEssenciais9189194199204214219" ref="B19:F23" totalsRowShown="0">
  <tableColumns count="5">
    <tableColumn id="1" xr3:uid="{EAC09491-0434-482C-979B-06A2A9E4F4C6}" name="Data" dataDxfId="173">
      <calculatedColumnFormula>TODAY()</calculatedColumnFormula>
    </tableColumn>
    <tableColumn id="2" xr3:uid="{0A5508EC-FA78-4258-946F-77429847F53D}" name="Nome" dataDxfId="172"/>
    <tableColumn id="3" xr3:uid="{8D210A4E-AD1E-4B9B-A276-03DF33AB73F1}" name="Tipo" dataDxfId="171"/>
    <tableColumn id="4" xr3:uid="{6D19662E-62F0-4ED0-B716-0F0EE306A64C}" name="Valor" dataDxfId="170"/>
    <tableColumn id="5" xr3:uid="{DA7874E0-4A2C-4691-9435-66EE6CD07EDA}" name="Pago?"/>
  </tableColumns>
  <tableStyleInfo name="TableStyleLight8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F28AC018-1A16-4407-9F7F-E0567D24DF0E}" name="GastosVariadosNãoEssenciais10190195200205215220" displayName="GastosVariadosNãoEssenciais10190195200205215220" ref="B27:F32" totalsRowShown="0">
  <tableColumns count="5">
    <tableColumn id="1" xr3:uid="{94D14DAC-977C-41AB-A5C8-8D614B69BFE5}" name="Data" dataDxfId="169"/>
    <tableColumn id="2" xr3:uid="{76DEC9EA-F8D0-42E2-8714-020CB1326AB5}" name="Nome" dataDxfId="168"/>
    <tableColumn id="3" xr3:uid="{00A01C08-2BA7-42ED-A5DB-F894B4E7C42E}" name="Tipo" dataDxfId="167"/>
    <tableColumn id="4" xr3:uid="{51DE80BF-5278-4F79-A052-CB1054AE7DEC}" name="Valor" dataDxfId="166"/>
    <tableColumn id="5" xr3:uid="{1ED7AD41-7310-409F-81FC-CCF263C6B209}" name="Pago?"/>
  </tableColumns>
  <tableStyleInfo name="TableStyleLight8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60663EB4-84B3-40A4-8B25-DD2463C5689F}" name="Entrada11191196201206216221" displayName="Entrada11191196201206216221" ref="C3:E6" totalsRowShown="0" headerRowDxfId="165" dataDxfId="164">
  <tableColumns count="3">
    <tableColumn id="2" xr3:uid="{140A76A4-343C-4CB6-B8CA-390803CDD374}" name="Nome" dataDxfId="163"/>
    <tableColumn id="3" xr3:uid="{67B017A5-5277-4161-A173-7BA4DDDB68BB}" name="Tipo" dataDxfId="162"/>
    <tableColumn id="4" xr3:uid="{1B763C6C-4095-4705-A607-8872D943FADF}" name="Valor" dataDxfId="161"/>
  </tableColumns>
  <tableStyleInfo name="TableStyleLight8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1CD27D4E-79D0-431E-A561-5534AF89F103}" name="Tabela712192197202207217222" displayName="Tabela712192197202207217222" ref="C36:E41" totalsRowShown="0" dataDxfId="160">
  <tableColumns count="3">
    <tableColumn id="1" xr3:uid="{D08D4F34-6BCB-441B-BFB9-B89138DBDF7C}" name="Entrada ou Saída" dataDxfId="159"/>
    <tableColumn id="2" xr3:uid="{77D7D18A-2E84-48EB-8609-85E12908225B}" name=" " dataDxfId="158"/>
    <tableColumn id="4" xr3:uid="{5F7D74DF-750D-4521-BEE0-C476BA6E8F6C}" name="Valor" dataDxfId="157"/>
  </tableColumns>
  <tableStyleInfo name="TableStyleLight8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C565F69F-2493-4F95-8423-F86823EFA0F0}" name="GastosFixos7188193198203213218223" displayName="GastosFixos7188193198203213218223" ref="B10:F15" totalsRowShown="0">
  <tableColumns count="5">
    <tableColumn id="1" xr3:uid="{D25D127C-C126-4CF6-8FA6-AEAA5E7B9ECA}" name="Data" dataDxfId="141"/>
    <tableColumn id="2" xr3:uid="{7684A663-CFC7-4DC5-9D83-4899968CF5D1}" name="Nome" dataDxfId="140"/>
    <tableColumn id="3" xr3:uid="{DABC7EF1-95A1-409F-95FB-505460520B2D}" name="Tipo" dataDxfId="139"/>
    <tableColumn id="4" xr3:uid="{F8D976B5-45A9-4564-8971-41CAF418C6E7}" name="Valor" dataDxfId="138"/>
    <tableColumn id="5" xr3:uid="{48C4324D-97D8-4A43-A1CD-229A592E442D}" name="Pago?"/>
  </tableColumns>
  <tableStyleInfo name="TableStyleLight8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2746FB00-7003-4EC8-B740-A2CFBD1D0DC4}" name="GastosVariadosEssenciais9189194199204214219224" displayName="GastosVariadosEssenciais9189194199204214219224" ref="B19:F23" totalsRowShown="0">
  <tableColumns count="5">
    <tableColumn id="1" xr3:uid="{365B49BB-0C8C-481F-A26E-41F79B937032}" name="Data" dataDxfId="137">
      <calculatedColumnFormula>TODAY()</calculatedColumnFormula>
    </tableColumn>
    <tableColumn id="2" xr3:uid="{E5FC8973-3AD3-41E7-A027-EB718D63F63F}" name="Nome" dataDxfId="136"/>
    <tableColumn id="3" xr3:uid="{53AB72D6-446A-4643-8C0C-8CB9E45BE3C1}" name="Tipo" dataDxfId="135"/>
    <tableColumn id="4" xr3:uid="{6C5384A1-37D2-4B97-9A84-22227E01924F}" name="Valor" dataDxfId="134"/>
    <tableColumn id="5" xr3:uid="{767DA098-953C-4D5A-B3FE-ED2EAF244F56}" name="Pago?"/>
  </tableColumns>
  <tableStyleInfo name="TableStyleLight8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8D289EB4-84ED-42BA-B6C2-64946BBD0DFD}" name="GastosVariadosNãoEssenciais10190195200205215220225" displayName="GastosVariadosNãoEssenciais10190195200205215220225" ref="B27:F32" totalsRowShown="0">
  <tableColumns count="5">
    <tableColumn id="1" xr3:uid="{F2EF1CB5-8935-49FE-8D2A-67389330CBF4}" name="Data" dataDxfId="133"/>
    <tableColumn id="2" xr3:uid="{E30748D4-20CC-4CE8-8CB9-ABF1D46D66B0}" name="Nome" dataDxfId="132"/>
    <tableColumn id="3" xr3:uid="{1DA3F391-2FC2-4DA4-AAC1-D18A2C30DCD0}" name="Tipo" dataDxfId="131"/>
    <tableColumn id="4" xr3:uid="{B35E22E1-2AA7-421E-9DCC-E337E34F6087}" name="Valor" dataDxfId="130"/>
    <tableColumn id="5" xr3:uid="{C0D54360-01EC-4464-8C1A-D903976B1B00}" name="Pago?"/>
  </tableColumns>
  <tableStyleInfo name="TableStyleLight8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CE6AD83E-18BA-400A-A14D-861B7C659FFE}" name="Entrada11191196201206216221226" displayName="Entrada11191196201206216221226" ref="C3:E6" totalsRowShown="0" headerRowDxfId="129" dataDxfId="128">
  <tableColumns count="3">
    <tableColumn id="2" xr3:uid="{4BC9C134-2CA1-42EC-A72D-98BF3591E34E}" name="Nome" dataDxfId="127"/>
    <tableColumn id="3" xr3:uid="{065038A5-C3BB-439B-8A34-9E8927728AAC}" name="Tipo" dataDxfId="126"/>
    <tableColumn id="4" xr3:uid="{C7A9F046-2970-4DA0-B685-933EC102E32F}" name="Valor" dataDxfId="125"/>
  </tableColumns>
  <tableStyleInfo name="TableStyleLight8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D01C08C8-A5C1-43E6-82DB-F47ACC54397B}" name="Tabela712192197202207217222227" displayName="Tabela712192197202207217222227" ref="C36:E41" totalsRowShown="0" dataDxfId="124">
  <tableColumns count="3">
    <tableColumn id="1" xr3:uid="{9A4F6C87-C171-4F41-A517-E72B4C8B522A}" name="Entrada ou Saída" dataDxfId="123"/>
    <tableColumn id="2" xr3:uid="{C31167EB-77FC-4B25-8D7D-C5BDD9A16C83}" name=" " dataDxfId="122"/>
    <tableColumn id="4" xr3:uid="{6D8A80A6-9523-4F82-9CF2-2DFF0ABC7057}" name="Valor" dataDxfId="121"/>
  </tableColumns>
  <tableStyleInfo name="TableStyleLight8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7" xr:uid="{E4F85036-3871-41A8-A0DE-401918C24ACC}" name="GastosFixos7188193198203213218223228" displayName="GastosFixos7188193198203213218223228" ref="B10:F15" totalsRowShown="0">
  <tableColumns count="5">
    <tableColumn id="1" xr3:uid="{4AA9656D-713F-4BA0-92AC-525C17B908BC}" name="Data" dataDxfId="105"/>
    <tableColumn id="2" xr3:uid="{53382EB5-28E7-4E65-B97B-8042E66AC688}" name="Nome" dataDxfId="104"/>
    <tableColumn id="3" xr3:uid="{BBC69772-67C5-4FF6-B17F-A6082F49C26F}" name="Tipo" dataDxfId="103"/>
    <tableColumn id="4" xr3:uid="{F8B0E373-E48E-45EE-BEE1-9259F67A94D4}" name="Valor" dataDxfId="102"/>
    <tableColumn id="5" xr3:uid="{64FA267C-CB62-4D00-991D-DDBA46817D8E}" name="Pago?"/>
  </tableColumns>
  <tableStyleInfo name="TableStyleLight8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8" xr:uid="{526A4C93-C62A-4795-8E96-420E8951B5A3}" name="GastosVariadosEssenciais9189194199204214219224229" displayName="GastosVariadosEssenciais9189194199204214219224229" ref="B19:F23" totalsRowShown="0">
  <tableColumns count="5">
    <tableColumn id="1" xr3:uid="{DA5EFF90-623D-4CC5-BA35-9AD1E7C6D7CC}" name="Data" dataDxfId="101">
      <calculatedColumnFormula>TODAY()</calculatedColumnFormula>
    </tableColumn>
    <tableColumn id="2" xr3:uid="{A0B64170-950A-4D76-ACFC-3634DFD40160}" name="Nome" dataDxfId="100"/>
    <tableColumn id="3" xr3:uid="{22453038-9279-497A-AF92-E5FEAFC4265E}" name="Tipo" dataDxfId="99"/>
    <tableColumn id="4" xr3:uid="{168133C3-2563-40A0-BD69-146EF3589CE6}" name="Valor" dataDxfId="98"/>
    <tableColumn id="5" xr3:uid="{001F8C72-B313-42A0-8706-C16D6FF7B3CA}" name="Pago?"/>
  </tableColumns>
  <tableStyleInfo name="TableStyleLight8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9" xr:uid="{1BC0E748-1ACE-4590-9295-CE6C4024E53F}" name="GastosVariadosNãoEssenciais10190195200205215220225230" displayName="GastosVariadosNãoEssenciais10190195200205215220225230" ref="B27:F32" totalsRowShown="0">
  <tableColumns count="5">
    <tableColumn id="1" xr3:uid="{647DE9F1-7011-46A1-92FE-063CCF052198}" name="Data" dataDxfId="97"/>
    <tableColumn id="2" xr3:uid="{1664F373-D8D6-4459-A9DB-3BE57126FDAE}" name="Nome" dataDxfId="96"/>
    <tableColumn id="3" xr3:uid="{11A00D5A-7EA9-45DD-BFCF-274CA62C3142}" name="Tipo" dataDxfId="95"/>
    <tableColumn id="4" xr3:uid="{BB5D25D9-1E9E-4F2F-B7C8-F2CB4F3B9AFB}" name="Valor" dataDxfId="94"/>
    <tableColumn id="5" xr3:uid="{3800FDC3-2299-4F4E-A830-1DDE72C9ACF2}" name="Pago?"/>
  </tableColumns>
  <tableStyleInfo name="TableStyleLight8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0" xr:uid="{F98292A4-D000-42F7-9955-C64F4800B2E4}" name="Entrada11191196201206216221226231" displayName="Entrada11191196201206216221226231" ref="C3:E6" totalsRowShown="0" headerRowDxfId="93" dataDxfId="92">
  <tableColumns count="3">
    <tableColumn id="2" xr3:uid="{77D3CA86-FB4E-4EC1-BE20-EC66D96E99EC}" name="Nome" dataDxfId="91"/>
    <tableColumn id="3" xr3:uid="{50C0E789-1207-45E5-984E-1738BB355883}" name="Tipo" dataDxfId="90"/>
    <tableColumn id="4" xr3:uid="{3C0D09DF-A52A-4077-9A44-C98AF499C2DC}" name="Valor" dataDxfId="89"/>
  </tableColumns>
  <tableStyleInfo name="TableStyleLight8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1" xr:uid="{329A87AA-6E14-4C83-8C94-003D6ABA33B6}" name="Tabela712192197202207217222227232" displayName="Tabela712192197202207217222227232" ref="C36:E41" totalsRowShown="0" dataDxfId="88">
  <tableColumns count="3">
    <tableColumn id="1" xr3:uid="{FE71A631-C673-4F43-9313-E380C2F79EE4}" name="Entrada ou Saída" dataDxfId="87"/>
    <tableColumn id="2" xr3:uid="{A8B0044C-E777-4ED3-8A47-B6EFCEF6E7C6}" name=" " dataDxfId="86"/>
    <tableColumn id="4" xr3:uid="{42DAC3C4-7B3F-42F4-AAFB-B59F0C07F7D3}" name="Valor" dataDxfId="85"/>
  </tableColumns>
  <tableStyleInfo name="TableStyleLight8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2" xr:uid="{DC49253D-B986-45C7-8D27-C98F4BDD69FA}" name="GastosFixos7188193198203213218223228233" displayName="GastosFixos7188193198203213218223228233" ref="B10:F15" totalsRowShown="0">
  <tableColumns count="5">
    <tableColumn id="1" xr3:uid="{FB155AE8-D66B-4F15-8239-D250C2FFF5EC}" name="Data" dataDxfId="69"/>
    <tableColumn id="2" xr3:uid="{A267422F-E82B-478B-82A1-E7CECBB65048}" name="Nome" dataDxfId="68"/>
    <tableColumn id="3" xr3:uid="{59C57E6B-CDDD-4258-9559-A222E7A42610}" name="Tipo" dataDxfId="67"/>
    <tableColumn id="4" xr3:uid="{B5BCCD06-8B1E-4CD2-B5EB-23D16AB4CAE7}" name="Valor" dataDxfId="66"/>
    <tableColumn id="5" xr3:uid="{E1D7907A-2591-4C15-B1D9-BA64A20C5436}" name="Pago?"/>
  </tableColumns>
  <tableStyleInfo name="TableStyleLight8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3" xr:uid="{E6AEC682-72A0-4BFC-BC43-9DBD67E3CF66}" name="GastosVariadosEssenciais9189194199204214219224229234" displayName="GastosVariadosEssenciais9189194199204214219224229234" ref="B19:F23" totalsRowShown="0">
  <tableColumns count="5">
    <tableColumn id="1" xr3:uid="{A6D43C2B-1BD7-4983-A762-386B11F38903}" name="Data" dataDxfId="65">
      <calculatedColumnFormula>TODAY()</calculatedColumnFormula>
    </tableColumn>
    <tableColumn id="2" xr3:uid="{2B3DB788-1759-4D5C-BA9A-31D7AC676F3B}" name="Nome" dataDxfId="64"/>
    <tableColumn id="3" xr3:uid="{E5072B49-1251-4AFA-8330-C4E9B390C5A5}" name="Tipo" dataDxfId="63"/>
    <tableColumn id="4" xr3:uid="{2DBD75C0-E569-4B6B-9747-DC58A9066E94}" name="Valor" dataDxfId="62"/>
    <tableColumn id="5" xr3:uid="{AAE76AD2-D5FF-483D-B48A-AAA18ABD6B0C}" name="Pago?"/>
  </tableColumns>
  <tableStyleInfo name="TableStyleLight8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4" xr:uid="{71BECC49-B477-4CA4-9EDC-1F368D1982F6}" name="GastosVariadosNãoEssenciais10190195200205215220225230235" displayName="GastosVariadosNãoEssenciais10190195200205215220225230235" ref="B27:F32" totalsRowShown="0">
  <tableColumns count="5">
    <tableColumn id="1" xr3:uid="{6FF8D270-EC85-4089-8DDD-7F2C7337575B}" name="Data" dataDxfId="61"/>
    <tableColumn id="2" xr3:uid="{036DE0CC-FCC9-4072-B3EC-1DC2BCFDF920}" name="Nome" dataDxfId="60"/>
    <tableColumn id="3" xr3:uid="{C13518AE-2F71-48BB-AC1F-0CABF24362BA}" name="Tipo" dataDxfId="59"/>
    <tableColumn id="4" xr3:uid="{95E55B19-6E80-49AB-9C22-9197ECFF4FFB}" name="Valor" dataDxfId="58"/>
    <tableColumn id="5" xr3:uid="{BF906F3E-D1B2-4622-AF42-C858B7065F3E}" name="Pago?"/>
  </tableColumns>
  <tableStyleInfo name="TableStyleLight8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5" xr:uid="{D98C3494-E3EC-4334-8634-19AE50698420}" name="Entrada11191196201206216221226231236" displayName="Entrada11191196201206216221226231236" ref="C3:E6" totalsRowShown="0" headerRowDxfId="57" dataDxfId="56">
  <tableColumns count="3">
    <tableColumn id="2" xr3:uid="{4A2F2A12-1248-4ECB-AA2A-53CC5BA51971}" name="Nome" dataDxfId="55"/>
    <tableColumn id="3" xr3:uid="{4BEE71FB-478D-4FA3-B56F-0478D71FD16B}" name="Tipo" dataDxfId="54"/>
    <tableColumn id="4" xr3:uid="{D653F2D6-660A-4D0D-8FB4-943E1CC914BF}" name="Valor" dataDxfId="53"/>
  </tableColumns>
  <tableStyleInfo name="TableStyleLight8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6" xr:uid="{892034D7-2B12-4ACF-ADA3-A4595DBFAA9B}" name="Tabela712192197202207217222227232237" displayName="Tabela712192197202207217222227232237" ref="C36:E41" totalsRowShown="0" dataDxfId="52">
  <tableColumns count="3">
    <tableColumn id="1" xr3:uid="{2B52456F-554F-48AC-9C9F-E156FC27A0DE}" name="Entrada ou Saída" dataDxfId="51"/>
    <tableColumn id="2" xr3:uid="{BEB678E7-1913-49DD-BE59-AE00C4DDB966}" name=" " dataDxfId="50"/>
    <tableColumn id="4" xr3:uid="{7AAA1BDB-98DA-4007-92BB-30D613CA4BD8}" name="Valor" dataDxfId="49"/>
  </tableColumns>
  <tableStyleInfo name="TableStyleLight8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7" xr:uid="{A1F8C624-E6A8-4DD6-B42D-6637A04881D6}" name="GastosFixos7188193198203213218223228233238" displayName="GastosFixos7188193198203213218223228233238" ref="B10:F15" totalsRowShown="0">
  <tableColumns count="5">
    <tableColumn id="1" xr3:uid="{EA96C26E-A65C-41F0-B7DB-229E95573F02}" name="Data" dataDxfId="33"/>
    <tableColumn id="2" xr3:uid="{A38B728E-D9E8-42B1-8E40-82FF80CA827B}" name="Nome" dataDxfId="32"/>
    <tableColumn id="3" xr3:uid="{0CDEB1FA-27CA-4D6F-A965-688C8813B79D}" name="Tipo" dataDxfId="31"/>
    <tableColumn id="4" xr3:uid="{9E46458C-2177-4655-AF70-7CC7FE256ADF}" name="Valor" dataDxfId="30"/>
    <tableColumn id="5" xr3:uid="{DF5E7229-7C54-488E-BA29-AEF1B2C58C76}" name="Pago?"/>
  </tableColumns>
  <tableStyleInfo name="TableStyleLight8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8" xr:uid="{8F0A7EEA-0D61-4731-979E-812CC926125F}" name="GastosVariadosEssenciais9189194199204214219224229234239" displayName="GastosVariadosEssenciais9189194199204214219224229234239" ref="B19:F23" totalsRowShown="0">
  <tableColumns count="5">
    <tableColumn id="1" xr3:uid="{1B28BFBB-1523-4C76-A1C1-8AD954C2A130}" name="Data" dataDxfId="29">
      <calculatedColumnFormula>TODAY()</calculatedColumnFormula>
    </tableColumn>
    <tableColumn id="2" xr3:uid="{D0F53E00-D415-494F-B7BE-A0EC89A94FC4}" name="Nome" dataDxfId="28"/>
    <tableColumn id="3" xr3:uid="{200B2B7B-9F92-4941-A8AE-FED39AB88438}" name="Tipo" dataDxfId="27"/>
    <tableColumn id="4" xr3:uid="{C6FBB71C-047B-44DD-A25F-7B3820057976}" name="Valor" dataDxfId="26"/>
    <tableColumn id="5" xr3:uid="{940765B0-A4F7-4656-94F2-997DC0346F22}" name="Pago?"/>
  </tableColumns>
  <tableStyleInfo name="TableStyleLight8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9" xr:uid="{408F11D4-95B2-4991-A86E-226A84A2431B}" name="GastosVariadosNãoEssenciais10190195200205215220225230235240" displayName="GastosVariadosNãoEssenciais10190195200205215220225230235240" ref="B27:F32" totalsRowShown="0">
  <tableColumns count="5">
    <tableColumn id="1" xr3:uid="{B6DDD7E0-7C56-43E8-AF55-16BB052389E9}" name="Data" dataDxfId="25"/>
    <tableColumn id="2" xr3:uid="{EA400873-2232-4330-860F-FCB9339578A2}" name="Nome" dataDxfId="24"/>
    <tableColumn id="3" xr3:uid="{F471E5C7-F09F-469F-8CD5-861424DD3889}" name="Tipo" dataDxfId="23"/>
    <tableColumn id="4" xr3:uid="{630BC6BF-63F3-4C61-A2EB-E8F2C7B9587A}" name="Valor" dataDxfId="22"/>
    <tableColumn id="5" xr3:uid="{8C99172E-8442-4E69-B572-B7CB11FFD56C}" name="Pago?"/>
  </tableColumns>
  <tableStyleInfo name="TableStyleLight8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0" xr:uid="{FEC83F36-C038-4F33-B728-E64A39ADF497}" name="Entrada11191196201206216221226231236241" displayName="Entrada11191196201206216221226231236241" ref="C3:E6" totalsRowShown="0" headerRowDxfId="21" dataDxfId="20">
  <tableColumns count="3">
    <tableColumn id="2" xr3:uid="{7FFC37FE-3C24-4341-8832-EAA7FFE23ED7}" name="Nome" dataDxfId="19"/>
    <tableColumn id="3" xr3:uid="{2CCE3DEF-8FEC-49E2-A429-D1801EAD30A6}" name="Tipo" dataDxfId="18"/>
    <tableColumn id="4" xr3:uid="{F0E5C5AE-3505-4820-87CF-67497F2494F4}" name="Valor" dataDxfId="17"/>
  </tableColumns>
  <tableStyleInfo name="TableStyleLight8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1" xr:uid="{B79FCA91-044E-4AC7-A152-1714F6B00411}" name="Tabela712192197202207217222227232237242" displayName="Tabela712192197202207217222227232237242" ref="C36:E41" totalsRowShown="0" dataDxfId="16">
  <tableColumns count="3">
    <tableColumn id="1" xr3:uid="{75F9C6C9-5E30-4F3A-BF73-E7E38EDB1203}" name="Entrada ou Saída" dataDxfId="15"/>
    <tableColumn id="2" xr3:uid="{75AC5006-D190-4BBF-8D4D-2E66A93BB184}" name=" " dataDxfId="14"/>
    <tableColumn id="4" xr3:uid="{A38F50F8-B0FB-47DB-9F5A-7835341F7549}" name="Valor" dataDxfId="13"/>
  </tableColumns>
  <tableStyleInfo name="TableStyleLight8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B62FB2-BDE1-4627-AD15-DAD616E2908E}" name="Tipos_de_Gastos" displayName="Tipos_de_Gastos" ref="A1:K6" totalsRowShown="0" headerRowDxfId="12" dataDxfId="11">
  <tableColumns count="11">
    <tableColumn id="1" xr3:uid="{1DF6C23F-1867-4202-888F-9617AFE1DF66}" name="HABITAÇÃO" dataDxfId="10"/>
    <tableColumn id="2" xr3:uid="{64AE8612-1446-4D9F-80DA-4C04D5E85D3E}" name="SERVIÇOS ESSENCIAIS" dataDxfId="9"/>
    <tableColumn id="3" xr3:uid="{CE676C5E-EB81-4C81-8311-25E6658588EE}" name="TRANSPORTE" dataDxfId="8"/>
    <tableColumn id="4" xr3:uid="{936B8D93-03AF-4B4F-B086-1D0734331E40}" name="ALIMENTAÇÃO" dataDxfId="7"/>
    <tableColumn id="5" xr3:uid="{C05A3494-0986-40FF-88FF-736D2FE87420}" name="SAÚDE" dataDxfId="6"/>
    <tableColumn id="6" xr3:uid="{B788087B-F769-4BA4-AC93-A938403CE286}" name="EDUCAÇÃO" dataDxfId="5"/>
    <tableColumn id="7" xr3:uid="{43C2E086-FDE3-48F9-9B32-FA8F595B58C6}" name="LAZER" dataDxfId="4"/>
    <tableColumn id="8" xr3:uid="{51EA8AA2-32DD-4769-A7C7-AE25C22E5AF8}" name="VESTUÁRIO" dataDxfId="3"/>
    <tableColumn id="9" xr3:uid="{AE388BCF-EF7C-46B5-8829-A1147516398E}" name="DESPESAS PESSOAIS" dataDxfId="2"/>
    <tableColumn id="10" xr3:uid="{CC18455D-BF34-42AA-875B-765B560142A2}" name="OUTROS" dataDxfId="1"/>
    <tableColumn id="11" xr3:uid="{1E599C9C-B794-4A27-B1CA-D402F0953336}" name="INVESTIMENTO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table" Target="../tables/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mayconmanini" TargetMode="External"/><Relationship Id="rId6" Type="http://schemas.openxmlformats.org/officeDocument/2006/relationships/ctrlProp" Target="../ctrlProps/ctrlProp2.xml"/><Relationship Id="rId11" Type="http://schemas.openxmlformats.org/officeDocument/2006/relationships/table" Target="../tables/table4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3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10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7.xml"/><Relationship Id="rId10" Type="http://schemas.openxmlformats.org/officeDocument/2006/relationships/table" Target="../tables/table15.xml"/><Relationship Id="rId4" Type="http://schemas.openxmlformats.org/officeDocument/2006/relationships/ctrlProp" Target="../ctrlProps/ctrlProp6.xml"/><Relationship Id="rId9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ctrlProp" Target="../ctrlProps/ctrlProp9.xml"/><Relationship Id="rId10" Type="http://schemas.openxmlformats.org/officeDocument/2006/relationships/table" Target="../tables/table20.xml"/><Relationship Id="rId4" Type="http://schemas.openxmlformats.org/officeDocument/2006/relationships/ctrlProp" Target="../ctrlProps/ctrlProp8.xml"/><Relationship Id="rId9" Type="http://schemas.openxmlformats.org/officeDocument/2006/relationships/table" Target="../tables/table1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2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1.xml"/><Relationship Id="rId5" Type="http://schemas.openxmlformats.org/officeDocument/2006/relationships/ctrlProp" Target="../ctrlProps/ctrlProp11.xml"/><Relationship Id="rId10" Type="http://schemas.openxmlformats.org/officeDocument/2006/relationships/table" Target="../tables/table25.xml"/><Relationship Id="rId4" Type="http://schemas.openxmlformats.org/officeDocument/2006/relationships/ctrlProp" Target="../ctrlProps/ctrlProp10.xml"/><Relationship Id="rId9" Type="http://schemas.openxmlformats.org/officeDocument/2006/relationships/table" Target="../tables/table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8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2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6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30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2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3" Type="http://schemas.openxmlformats.org/officeDocument/2006/relationships/vmlDrawing" Target="../drawings/vmlDrawing7.vml"/><Relationship Id="rId7" Type="http://schemas.openxmlformats.org/officeDocument/2006/relationships/table" Target="../tables/table3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1.xml"/><Relationship Id="rId5" Type="http://schemas.openxmlformats.org/officeDocument/2006/relationships/ctrlProp" Target="../ctrlProps/ctrlProp15.xml"/><Relationship Id="rId10" Type="http://schemas.openxmlformats.org/officeDocument/2006/relationships/table" Target="../tables/table35.xml"/><Relationship Id="rId4" Type="http://schemas.openxmlformats.org/officeDocument/2006/relationships/ctrlProp" Target="../ctrlProps/ctrlProp14.xml"/><Relationship Id="rId9" Type="http://schemas.openxmlformats.org/officeDocument/2006/relationships/table" Target="../tables/table3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8.xml"/><Relationship Id="rId3" Type="http://schemas.openxmlformats.org/officeDocument/2006/relationships/vmlDrawing" Target="../drawings/vmlDrawing8.vml"/><Relationship Id="rId7" Type="http://schemas.openxmlformats.org/officeDocument/2006/relationships/table" Target="../tables/table3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36.xml"/><Relationship Id="rId5" Type="http://schemas.openxmlformats.org/officeDocument/2006/relationships/ctrlProp" Target="../ctrlProps/ctrlProp17.xml"/><Relationship Id="rId10" Type="http://schemas.openxmlformats.org/officeDocument/2006/relationships/table" Target="../tables/table40.xml"/><Relationship Id="rId4" Type="http://schemas.openxmlformats.org/officeDocument/2006/relationships/ctrlProp" Target="../ctrlProps/ctrlProp16.xml"/><Relationship Id="rId9" Type="http://schemas.openxmlformats.org/officeDocument/2006/relationships/table" Target="../tables/table3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3.xml"/><Relationship Id="rId3" Type="http://schemas.openxmlformats.org/officeDocument/2006/relationships/vmlDrawing" Target="../drawings/vmlDrawing9.vml"/><Relationship Id="rId7" Type="http://schemas.openxmlformats.org/officeDocument/2006/relationships/table" Target="../tables/table4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41.xml"/><Relationship Id="rId5" Type="http://schemas.openxmlformats.org/officeDocument/2006/relationships/ctrlProp" Target="../ctrlProps/ctrlProp19.xml"/><Relationship Id="rId10" Type="http://schemas.openxmlformats.org/officeDocument/2006/relationships/table" Target="../tables/table45.xml"/><Relationship Id="rId4" Type="http://schemas.openxmlformats.org/officeDocument/2006/relationships/ctrlProp" Target="../ctrlProps/ctrlProp18.xml"/><Relationship Id="rId9" Type="http://schemas.openxmlformats.org/officeDocument/2006/relationships/table" Target="../tables/table44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8.xml"/><Relationship Id="rId3" Type="http://schemas.openxmlformats.org/officeDocument/2006/relationships/vmlDrawing" Target="../drawings/vmlDrawing10.vml"/><Relationship Id="rId7" Type="http://schemas.openxmlformats.org/officeDocument/2006/relationships/table" Target="../tables/table4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46.xml"/><Relationship Id="rId5" Type="http://schemas.openxmlformats.org/officeDocument/2006/relationships/ctrlProp" Target="../ctrlProps/ctrlProp21.xml"/><Relationship Id="rId10" Type="http://schemas.openxmlformats.org/officeDocument/2006/relationships/table" Target="../tables/table50.xml"/><Relationship Id="rId4" Type="http://schemas.openxmlformats.org/officeDocument/2006/relationships/ctrlProp" Target="../ctrlProps/ctrlProp20.xml"/><Relationship Id="rId9" Type="http://schemas.openxmlformats.org/officeDocument/2006/relationships/table" Target="../tables/table4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3.xml"/><Relationship Id="rId3" Type="http://schemas.openxmlformats.org/officeDocument/2006/relationships/vmlDrawing" Target="../drawings/vmlDrawing11.vml"/><Relationship Id="rId7" Type="http://schemas.openxmlformats.org/officeDocument/2006/relationships/table" Target="../tables/table5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51.xml"/><Relationship Id="rId5" Type="http://schemas.openxmlformats.org/officeDocument/2006/relationships/ctrlProp" Target="../ctrlProps/ctrlProp23.xml"/><Relationship Id="rId10" Type="http://schemas.openxmlformats.org/officeDocument/2006/relationships/table" Target="../tables/table55.xml"/><Relationship Id="rId4" Type="http://schemas.openxmlformats.org/officeDocument/2006/relationships/ctrlProp" Target="../ctrlProps/ctrlProp22.xml"/><Relationship Id="rId9" Type="http://schemas.openxmlformats.org/officeDocument/2006/relationships/table" Target="../tables/table5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8.xml"/><Relationship Id="rId3" Type="http://schemas.openxmlformats.org/officeDocument/2006/relationships/vmlDrawing" Target="../drawings/vmlDrawing12.vml"/><Relationship Id="rId7" Type="http://schemas.openxmlformats.org/officeDocument/2006/relationships/table" Target="../tables/table5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56.xml"/><Relationship Id="rId5" Type="http://schemas.openxmlformats.org/officeDocument/2006/relationships/ctrlProp" Target="../ctrlProps/ctrlProp25.xml"/><Relationship Id="rId10" Type="http://schemas.openxmlformats.org/officeDocument/2006/relationships/table" Target="../tables/table60.xml"/><Relationship Id="rId4" Type="http://schemas.openxmlformats.org/officeDocument/2006/relationships/ctrlProp" Target="../ctrlProps/ctrlProp24.xml"/><Relationship Id="rId9" Type="http://schemas.openxmlformats.org/officeDocument/2006/relationships/table" Target="../tables/table5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3.xml"/><Relationship Id="rId3" Type="http://schemas.openxmlformats.org/officeDocument/2006/relationships/vmlDrawing" Target="../drawings/vmlDrawing13.vml"/><Relationship Id="rId7" Type="http://schemas.openxmlformats.org/officeDocument/2006/relationships/table" Target="../tables/table6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61.xml"/><Relationship Id="rId5" Type="http://schemas.openxmlformats.org/officeDocument/2006/relationships/ctrlProp" Target="../ctrlProps/ctrlProp27.xml"/><Relationship Id="rId10" Type="http://schemas.openxmlformats.org/officeDocument/2006/relationships/table" Target="../tables/table65.xml"/><Relationship Id="rId4" Type="http://schemas.openxmlformats.org/officeDocument/2006/relationships/ctrlProp" Target="../ctrlProps/ctrlProp26.xml"/><Relationship Id="rId9" Type="http://schemas.openxmlformats.org/officeDocument/2006/relationships/table" Target="../tables/table6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7A0E5-B3E2-46C2-9C62-87919450B72A}">
  <sheetPr codeName="Planilha5"/>
  <dimension ref="B1:O12"/>
  <sheetViews>
    <sheetView showGridLines="0" tabSelected="1" workbookViewId="0">
      <selection activeCell="B7" sqref="B7"/>
    </sheetView>
  </sheetViews>
  <sheetFormatPr defaultRowHeight="26.25" x14ac:dyDescent="0.4"/>
  <cols>
    <col min="1" max="1" width="3.28515625" style="18" customWidth="1"/>
    <col min="2" max="2" width="36.7109375" style="18" bestFit="1" customWidth="1"/>
    <col min="3" max="14" width="16.28515625" style="18" customWidth="1"/>
    <col min="15" max="15" width="18.7109375" style="18" customWidth="1"/>
    <col min="16" max="16384" width="9.140625" style="18"/>
  </cols>
  <sheetData>
    <row r="1" spans="2:15" ht="12" customHeight="1" thickBot="1" x14ac:dyDescent="0.45"/>
    <row r="2" spans="2:15" x14ac:dyDescent="0.4">
      <c r="B2" s="32" t="s">
        <v>88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4"/>
    </row>
    <row r="3" spans="2:15" x14ac:dyDescent="0.4">
      <c r="B3" s="35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7"/>
    </row>
    <row r="4" spans="2:15" x14ac:dyDescent="0.4">
      <c r="B4" s="19"/>
      <c r="C4" s="20"/>
      <c r="D4" s="20"/>
      <c r="E4" s="20"/>
      <c r="F4" s="20"/>
      <c r="G4" s="38">
        <v>2024</v>
      </c>
      <c r="H4" s="38"/>
      <c r="I4" s="20"/>
      <c r="J4" s="20"/>
      <c r="K4" s="20"/>
      <c r="L4" s="20"/>
      <c r="M4" s="20"/>
      <c r="N4" s="20"/>
      <c r="O4" s="21"/>
    </row>
    <row r="5" spans="2:15" x14ac:dyDescent="0.4">
      <c r="B5" s="22"/>
      <c r="C5" s="23">
        <v>45292</v>
      </c>
      <c r="D5" s="23">
        <f>C5+EOMONTH(1,0)</f>
        <v>45323</v>
      </c>
      <c r="E5" s="23">
        <f t="shared" ref="E5:N5" si="0">D5+EOMONTH(1,0)</f>
        <v>45354</v>
      </c>
      <c r="F5" s="23">
        <f t="shared" si="0"/>
        <v>45385</v>
      </c>
      <c r="G5" s="23">
        <f t="shared" si="0"/>
        <v>45416</v>
      </c>
      <c r="H5" s="23">
        <f t="shared" si="0"/>
        <v>45447</v>
      </c>
      <c r="I5" s="23">
        <f t="shared" si="0"/>
        <v>45478</v>
      </c>
      <c r="J5" s="23">
        <f t="shared" si="0"/>
        <v>45509</v>
      </c>
      <c r="K5" s="23">
        <f t="shared" si="0"/>
        <v>45540</v>
      </c>
      <c r="L5" s="23">
        <f t="shared" si="0"/>
        <v>45571</v>
      </c>
      <c r="M5" s="23">
        <f t="shared" si="0"/>
        <v>45602</v>
      </c>
      <c r="N5" s="23">
        <f t="shared" si="0"/>
        <v>45633</v>
      </c>
      <c r="O5" s="24"/>
    </row>
    <row r="6" spans="2:15" x14ac:dyDescent="0.4">
      <c r="B6" s="25" t="s">
        <v>89</v>
      </c>
      <c r="C6" s="26">
        <f>JAN_2024!RendaTotal</f>
        <v>0</v>
      </c>
      <c r="D6" s="26">
        <f>FEV_2024!RendaTotal</f>
        <v>0</v>
      </c>
      <c r="E6" s="26">
        <f>MAR_2024!RendaTotal</f>
        <v>0</v>
      </c>
      <c r="F6" s="26">
        <f>'ABR_2024 '!RendaTotal</f>
        <v>0</v>
      </c>
      <c r="G6" s="26">
        <f>MAI_2024!RendaTotal</f>
        <v>0</v>
      </c>
      <c r="H6" s="26">
        <f>JUN_2024!RendaTotal</f>
        <v>0</v>
      </c>
      <c r="I6" s="26">
        <f>JUL_2024!RendaTotal</f>
        <v>0</v>
      </c>
      <c r="J6" s="26">
        <f>AGO_2024!RendaTotal</f>
        <v>0</v>
      </c>
      <c r="K6" s="26">
        <f>SET_2024!RendaTotal</f>
        <v>0</v>
      </c>
      <c r="L6" s="26">
        <f>OUT_2024!RendaTotal</f>
        <v>0</v>
      </c>
      <c r="M6" s="26">
        <f>NOV_2024!RendaTotal</f>
        <v>0</v>
      </c>
      <c r="N6" s="26">
        <f>DEZ_2024!RendaTotal</f>
        <v>0</v>
      </c>
      <c r="O6" s="27"/>
    </row>
    <row r="7" spans="2:15" x14ac:dyDescent="0.4">
      <c r="B7" s="25" t="s">
        <v>90</v>
      </c>
      <c r="C7" s="26">
        <f>(SUM(JAN_2024!E38:E40))</f>
        <v>0</v>
      </c>
      <c r="D7" s="26">
        <f>SUM(FEV_2024!$E$38:$E$40)</f>
        <v>0</v>
      </c>
      <c r="E7" s="26">
        <f>SUM(MAR_2024!E38:E40)</f>
        <v>0</v>
      </c>
      <c r="F7" s="26">
        <f>SUM('ABR_2024 '!E38:E40)</f>
        <v>0</v>
      </c>
      <c r="G7" s="26">
        <f>SUM(MAI_2024!E38:E40)</f>
        <v>0</v>
      </c>
      <c r="H7" s="26">
        <f>SUM(JUN_2024!$E$38:$E$40)</f>
        <v>0</v>
      </c>
      <c r="I7" s="26">
        <f>SUM(JUL_2024!$E$38:$E$40)</f>
        <v>0</v>
      </c>
      <c r="J7" s="26">
        <f>SUM(AGO_2024!E38:E40)</f>
        <v>0</v>
      </c>
      <c r="K7" s="26">
        <f>SUM(SET_2024!$E$38:$E$40)</f>
        <v>0</v>
      </c>
      <c r="L7" s="26">
        <f>SUM(OUT_2024!$E$38:$E$40)</f>
        <v>0</v>
      </c>
      <c r="M7" s="26">
        <f>SUM(NOV_2024!$E$38:$E$40)</f>
        <v>0</v>
      </c>
      <c r="N7" s="26">
        <f>SUM(DEZ_2024!E38:E40)</f>
        <v>0</v>
      </c>
      <c r="O7" s="27"/>
    </row>
    <row r="8" spans="2:15" x14ac:dyDescent="0.4">
      <c r="B8" s="25" t="s">
        <v>91</v>
      </c>
      <c r="C8" s="26">
        <f>JAN_2024!E40</f>
        <v>0</v>
      </c>
      <c r="D8" s="26">
        <f>FEV_2024!$E$40</f>
        <v>0</v>
      </c>
      <c r="E8" s="26">
        <f>MAR_2024!E41</f>
        <v>0</v>
      </c>
      <c r="F8" s="26">
        <f>'ABR_2024 '!E40</f>
        <v>0</v>
      </c>
      <c r="G8" s="26">
        <f>MAI_2024!E40</f>
        <v>0</v>
      </c>
      <c r="H8" s="26">
        <f>JUN_2024!$E$40</f>
        <v>0</v>
      </c>
      <c r="I8" s="26">
        <f>JUL_2024!$E$40</f>
        <v>0</v>
      </c>
      <c r="J8" s="26">
        <f>AGO_2024!E40</f>
        <v>0</v>
      </c>
      <c r="K8" s="26">
        <f>SET_2024!$E$40</f>
        <v>0</v>
      </c>
      <c r="L8" s="26">
        <f>OUT_2024!$E$40</f>
        <v>0</v>
      </c>
      <c r="M8" s="26">
        <f>NOV_2024!$E$40</f>
        <v>0</v>
      </c>
      <c r="N8" s="26">
        <f>DEZ_2024!E40</f>
        <v>0</v>
      </c>
      <c r="O8" s="27"/>
    </row>
    <row r="9" spans="2:15" ht="27" thickBot="1" x14ac:dyDescent="0.45">
      <c r="B9" s="28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30"/>
    </row>
    <row r="12" spans="2:15" x14ac:dyDescent="0.4">
      <c r="C12" s="31"/>
    </row>
  </sheetData>
  <mergeCells count="2">
    <mergeCell ref="B2:O3"/>
    <mergeCell ref="G4:H4"/>
  </mergeCells>
  <conditionalFormatting sqref="C6:N6">
    <cfRule type="colorScale" priority="4">
      <colorScale>
        <cfvo type="min"/>
        <cfvo type="max"/>
        <color rgb="FFFCFCFF"/>
        <color rgb="FF63BE7B"/>
      </colorScale>
    </cfRule>
  </conditionalFormatting>
  <conditionalFormatting sqref="C7:N7">
    <cfRule type="colorScale" priority="3">
      <colorScale>
        <cfvo type="min"/>
        <cfvo type="max"/>
        <color rgb="FFFFE7FE"/>
        <color rgb="FFFF3FDA"/>
      </colorScale>
    </cfRule>
  </conditionalFormatting>
  <conditionalFormatting sqref="C8:N8">
    <cfRule type="colorScale" priority="2">
      <colorScale>
        <cfvo type="min"/>
        <cfvo type="max"/>
        <color rgb="FFFCFCFF"/>
        <color rgb="FFF8696B"/>
      </colorScale>
    </cfRule>
  </conditionalFormatting>
  <conditionalFormatting sqref="C6:N8">
    <cfRule type="cellIs" dxfId="481" priority="1" operator="equal">
      <formula>0</formula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5A1AF840-EE0B-472B-82CE-8E733311555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RESUMO!C6:N6</xm:f>
              <xm:sqref>O6</xm:sqref>
            </x14:sparkline>
          </x14:sparklines>
        </x14:sparklineGroup>
        <x14:sparklineGroup displayEmptyCellsAs="gap" xr2:uid="{B8D3A6DE-62FC-458F-AA01-2D7059E0A09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RESUMO!C7:N7</xm:f>
              <xm:sqref>O7</xm:sqref>
            </x14:sparkline>
          </x14:sparklines>
        </x14:sparklineGroup>
        <x14:sparklineGroup displayEmptyCellsAs="gap" xr2:uid="{8D5D3B83-EE7D-45CB-96EE-1B093B84AA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RESUMO!C8:N8</xm:f>
              <xm:sqref>O8</xm:sqref>
            </x14:sparkline>
          </x14:sparklines>
        </x14:sparklineGroup>
        <x14:sparklineGroup displayEmptyCellsAs="gap" xr2:uid="{EBCD0B71-E9B0-4B9D-9598-8A95357AFD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RESUMO!C9:N9</xm:f>
              <xm:sqref>O9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2D2CD-2AEA-41AA-B6EC-2648EB0A0E5C}">
  <sheetPr codeName="BotaoDuplicar"/>
  <dimension ref="A1:T42"/>
  <sheetViews>
    <sheetView showGridLines="0" zoomScaleNormal="100" workbookViewId="0">
      <selection activeCell="R21" sqref="R21"/>
    </sheetView>
  </sheetViews>
  <sheetFormatPr defaultRowHeight="15" x14ac:dyDescent="0.25"/>
  <cols>
    <col min="1" max="1" width="3.5703125" customWidth="1"/>
    <col min="2" max="2" width="10.7109375" customWidth="1"/>
    <col min="3" max="3" width="22.140625" customWidth="1"/>
    <col min="4" max="4" width="20.28515625" customWidth="1"/>
    <col min="5" max="5" width="12.140625" bestFit="1" customWidth="1"/>
    <col min="7" max="7" width="3.5703125" customWidth="1"/>
  </cols>
  <sheetData>
    <row r="1" spans="1:20" x14ac:dyDescent="0.25">
      <c r="A1" s="43" t="s">
        <v>85</v>
      </c>
      <c r="B1" s="43"/>
      <c r="C1" s="43"/>
      <c r="D1" s="43"/>
      <c r="E1" s="43"/>
      <c r="F1" s="43"/>
      <c r="G1" s="43"/>
    </row>
    <row r="2" spans="1:20" x14ac:dyDescent="0.25">
      <c r="A2" s="4"/>
      <c r="B2" s="11"/>
      <c r="C2" s="41" t="s">
        <v>72</v>
      </c>
      <c r="D2" s="41"/>
      <c r="E2" s="41"/>
      <c r="F2" s="11"/>
      <c r="G2" s="5"/>
    </row>
    <row r="3" spans="1:20" x14ac:dyDescent="0.25">
      <c r="A3" s="4"/>
      <c r="B3" s="11"/>
      <c r="C3" t="s">
        <v>51</v>
      </c>
      <c r="D3" t="s">
        <v>52</v>
      </c>
      <c r="E3" t="s">
        <v>53</v>
      </c>
      <c r="F3" s="11"/>
      <c r="G3" s="5"/>
    </row>
    <row r="4" spans="1:20" x14ac:dyDescent="0.25">
      <c r="A4" s="4"/>
      <c r="B4" s="14"/>
      <c r="C4" s="8" t="s">
        <v>76</v>
      </c>
      <c r="D4" s="8" t="s">
        <v>79</v>
      </c>
      <c r="E4" s="10">
        <v>2500</v>
      </c>
      <c r="F4" s="11"/>
      <c r="G4" s="5"/>
    </row>
    <row r="5" spans="1:20" x14ac:dyDescent="0.25">
      <c r="A5" s="4"/>
      <c r="B5" s="14"/>
      <c r="C5" s="8" t="s">
        <v>77</v>
      </c>
      <c r="D5" s="8" t="s">
        <v>74</v>
      </c>
      <c r="E5" s="10">
        <v>500</v>
      </c>
      <c r="F5" s="11"/>
      <c r="G5" s="5"/>
    </row>
    <row r="6" spans="1:20" x14ac:dyDescent="0.25">
      <c r="A6" s="4"/>
      <c r="B6" s="14"/>
      <c r="C6" s="8" t="s">
        <v>78</v>
      </c>
      <c r="D6" s="8" t="s">
        <v>75</v>
      </c>
      <c r="E6" s="10">
        <v>200</v>
      </c>
      <c r="F6" s="11"/>
      <c r="G6" s="5"/>
    </row>
    <row r="7" spans="1:20" x14ac:dyDescent="0.25">
      <c r="A7" s="4"/>
      <c r="B7" s="14"/>
      <c r="C7" s="8"/>
      <c r="D7" s="8" t="s">
        <v>59</v>
      </c>
      <c r="E7" s="10">
        <f>SUM(Entrada[[#All],[Valor]])</f>
        <v>3200</v>
      </c>
      <c r="F7" s="11"/>
      <c r="G7" s="5"/>
    </row>
    <row r="8" spans="1:20" x14ac:dyDescent="0.25">
      <c r="A8" s="6"/>
      <c r="B8" s="13"/>
      <c r="C8" s="13"/>
      <c r="D8" s="13"/>
      <c r="E8" s="13"/>
      <c r="F8" s="13"/>
      <c r="G8" s="7"/>
    </row>
    <row r="9" spans="1:20" ht="18.75" customHeight="1" x14ac:dyDescent="0.25">
      <c r="A9" s="2"/>
      <c r="B9" s="42" t="s">
        <v>49</v>
      </c>
      <c r="C9" s="42"/>
      <c r="D9" s="42"/>
      <c r="E9" s="42"/>
      <c r="F9" s="42"/>
      <c r="G9" s="3"/>
    </row>
    <row r="10" spans="1:20" x14ac:dyDescent="0.25">
      <c r="A10" s="4"/>
      <c r="B10" t="s">
        <v>50</v>
      </c>
      <c r="C10" t="s">
        <v>51</v>
      </c>
      <c r="D10" t="s">
        <v>52</v>
      </c>
      <c r="E10" t="s">
        <v>53</v>
      </c>
      <c r="F10" t="s">
        <v>54</v>
      </c>
      <c r="G10" s="5"/>
    </row>
    <row r="11" spans="1:20" x14ac:dyDescent="0.25">
      <c r="A11" s="4"/>
      <c r="B11" s="9">
        <v>45453</v>
      </c>
      <c r="C11" s="8" t="s">
        <v>0</v>
      </c>
      <c r="D11" s="8" t="s">
        <v>57</v>
      </c>
      <c r="E11" s="10">
        <v>800</v>
      </c>
      <c r="F11" t="s">
        <v>55</v>
      </c>
      <c r="G11" s="5"/>
      <c r="O11" s="39" t="s">
        <v>104</v>
      </c>
      <c r="P11" s="39"/>
      <c r="Q11" s="40" t="s">
        <v>105</v>
      </c>
      <c r="R11" s="40"/>
      <c r="S11" s="40"/>
      <c r="T11" s="40"/>
    </row>
    <row r="12" spans="1:20" x14ac:dyDescent="0.25">
      <c r="A12" s="4"/>
      <c r="B12" s="9">
        <v>45453</v>
      </c>
      <c r="C12" s="8" t="s">
        <v>42</v>
      </c>
      <c r="D12" s="8" t="s">
        <v>5</v>
      </c>
      <c r="E12" s="10">
        <v>90</v>
      </c>
      <c r="F12" t="s">
        <v>55</v>
      </c>
      <c r="G12" s="5"/>
    </row>
    <row r="13" spans="1:20" x14ac:dyDescent="0.25">
      <c r="A13" s="4"/>
      <c r="B13" s="9">
        <v>45458</v>
      </c>
      <c r="C13" s="8" t="s">
        <v>58</v>
      </c>
      <c r="D13" s="8" t="s">
        <v>5</v>
      </c>
      <c r="E13" s="10">
        <v>250</v>
      </c>
      <c r="F13" t="s">
        <v>56</v>
      </c>
      <c r="G13" s="5"/>
    </row>
    <row r="14" spans="1:20" x14ac:dyDescent="0.25">
      <c r="A14" s="4"/>
      <c r="B14" s="9">
        <v>45463</v>
      </c>
      <c r="C14" s="8" t="s">
        <v>44</v>
      </c>
      <c r="D14" s="8" t="s">
        <v>5</v>
      </c>
      <c r="E14" s="10">
        <v>150</v>
      </c>
      <c r="F14" t="s">
        <v>55</v>
      </c>
      <c r="G14" s="5"/>
    </row>
    <row r="15" spans="1:20" x14ac:dyDescent="0.25">
      <c r="A15" s="4"/>
      <c r="B15" s="9">
        <v>45451</v>
      </c>
      <c r="C15" s="8" t="s">
        <v>38</v>
      </c>
      <c r="D15" s="8" t="s">
        <v>6</v>
      </c>
      <c r="E15" s="10">
        <v>250</v>
      </c>
      <c r="F15" t="s">
        <v>55</v>
      </c>
      <c r="G15" s="5"/>
    </row>
    <row r="16" spans="1:20" ht="18.75" customHeight="1" x14ac:dyDescent="0.25">
      <c r="A16" s="4"/>
      <c r="B16" s="9"/>
      <c r="C16" s="8" t="s">
        <v>64</v>
      </c>
      <c r="D16" s="8" t="s">
        <v>59</v>
      </c>
      <c r="E16" s="10">
        <f>SUM(GastosFixos[[#All],[Valor]])</f>
        <v>1540</v>
      </c>
      <c r="F16" t="str">
        <f>_xlfn.IFNA(VLOOKUP("Não",GastosFixos[Pago?],1,FALSE),"Sim")</f>
        <v>Não</v>
      </c>
      <c r="G16" s="5"/>
    </row>
    <row r="17" spans="1:7" ht="18.75" customHeight="1" x14ac:dyDescent="0.25">
      <c r="A17" s="6"/>
      <c r="B17" s="44"/>
      <c r="C17" s="44"/>
      <c r="D17" s="44"/>
      <c r="E17" s="44"/>
      <c r="F17" s="44"/>
      <c r="G17" s="7"/>
    </row>
    <row r="18" spans="1:7" ht="18.75" customHeight="1" x14ac:dyDescent="0.25">
      <c r="A18" s="2"/>
      <c r="B18" s="42" t="s">
        <v>63</v>
      </c>
      <c r="C18" s="42"/>
      <c r="D18" s="42"/>
      <c r="E18" s="42"/>
      <c r="F18" s="42"/>
      <c r="G18" s="3"/>
    </row>
    <row r="19" spans="1:7" x14ac:dyDescent="0.25">
      <c r="A19" s="4"/>
      <c r="B19" t="s">
        <v>50</v>
      </c>
      <c r="C19" t="s">
        <v>51</v>
      </c>
      <c r="D19" t="s">
        <v>52</v>
      </c>
      <c r="E19" t="s">
        <v>53</v>
      </c>
      <c r="F19" t="s">
        <v>54</v>
      </c>
      <c r="G19" s="5"/>
    </row>
    <row r="20" spans="1:7" x14ac:dyDescent="0.25">
      <c r="A20" s="4"/>
      <c r="B20" s="9">
        <f t="shared" ref="B20" ca="1" si="0">TODAY()</f>
        <v>45475</v>
      </c>
      <c r="C20" s="8" t="s">
        <v>34</v>
      </c>
      <c r="D20" s="8" t="s">
        <v>66</v>
      </c>
      <c r="E20" s="10">
        <v>500</v>
      </c>
      <c r="F20" t="s">
        <v>55</v>
      </c>
      <c r="G20" s="5"/>
    </row>
    <row r="21" spans="1:7" x14ac:dyDescent="0.25">
      <c r="A21" s="4"/>
      <c r="B21" s="9">
        <f ca="1">TODAY()</f>
        <v>45475</v>
      </c>
      <c r="C21" s="8" t="s">
        <v>27</v>
      </c>
      <c r="D21" s="8" t="s">
        <v>9</v>
      </c>
      <c r="E21" s="10">
        <v>200</v>
      </c>
      <c r="F21" t="s">
        <v>55</v>
      </c>
      <c r="G21" s="5"/>
    </row>
    <row r="22" spans="1:7" x14ac:dyDescent="0.25">
      <c r="A22" s="4"/>
      <c r="B22" s="9">
        <f t="shared" ref="B22:B23" ca="1" si="1">TODAY()</f>
        <v>45475</v>
      </c>
      <c r="C22" s="8" t="s">
        <v>61</v>
      </c>
      <c r="D22" s="8" t="s">
        <v>60</v>
      </c>
      <c r="E22" s="10">
        <v>150</v>
      </c>
      <c r="F22" t="s">
        <v>55</v>
      </c>
      <c r="G22" s="5"/>
    </row>
    <row r="23" spans="1:7" x14ac:dyDescent="0.25">
      <c r="A23" s="4"/>
      <c r="B23" s="9">
        <f t="shared" ca="1" si="1"/>
        <v>45475</v>
      </c>
      <c r="C23" s="8" t="s">
        <v>17</v>
      </c>
      <c r="D23" s="8" t="s">
        <v>11</v>
      </c>
      <c r="E23" s="10">
        <v>90</v>
      </c>
      <c r="F23" t="s">
        <v>55</v>
      </c>
      <c r="G23" s="5"/>
    </row>
    <row r="24" spans="1:7" x14ac:dyDescent="0.25">
      <c r="A24" s="4"/>
      <c r="B24" s="9"/>
      <c r="C24" s="8" t="s">
        <v>65</v>
      </c>
      <c r="D24" s="8" t="s">
        <v>59</v>
      </c>
      <c r="E24" s="10">
        <f>SUM(GastosVariadosEssenciais[[#All],[Valor]])</f>
        <v>940</v>
      </c>
      <c r="F24" t="str">
        <f>_xlfn.IFNA(VLOOKUP("Não",GastosVariadosEssenciais[Pago?],1,FALSE),"Sim")</f>
        <v>Sim</v>
      </c>
      <c r="G24" s="5"/>
    </row>
    <row r="25" spans="1:7" x14ac:dyDescent="0.25">
      <c r="A25" s="6"/>
      <c r="B25" s="44"/>
      <c r="C25" s="44"/>
      <c r="D25" s="44"/>
      <c r="E25" s="44"/>
      <c r="F25" s="44"/>
      <c r="G25" s="7"/>
    </row>
    <row r="26" spans="1:7" x14ac:dyDescent="0.25">
      <c r="A26" s="2"/>
      <c r="B26" s="42" t="s">
        <v>67</v>
      </c>
      <c r="C26" s="42"/>
      <c r="D26" s="42"/>
      <c r="E26" s="42"/>
      <c r="F26" s="42"/>
      <c r="G26" s="3"/>
    </row>
    <row r="27" spans="1:7" x14ac:dyDescent="0.25">
      <c r="A27" s="4"/>
      <c r="B27" t="s">
        <v>50</v>
      </c>
      <c r="C27" t="s">
        <v>51</v>
      </c>
      <c r="D27" t="s">
        <v>52</v>
      </c>
      <c r="E27" t="s">
        <v>53</v>
      </c>
      <c r="F27" t="s">
        <v>54</v>
      </c>
      <c r="G27" s="5"/>
    </row>
    <row r="28" spans="1:7" x14ac:dyDescent="0.25">
      <c r="A28" s="4"/>
      <c r="B28" s="9">
        <v>45463</v>
      </c>
      <c r="C28" s="8" t="s">
        <v>18</v>
      </c>
      <c r="D28" s="8" t="s">
        <v>11</v>
      </c>
      <c r="E28" s="10">
        <v>120</v>
      </c>
      <c r="F28" t="s">
        <v>55</v>
      </c>
      <c r="G28" s="5"/>
    </row>
    <row r="29" spans="1:7" x14ac:dyDescent="0.25">
      <c r="A29" s="4"/>
      <c r="B29" s="9">
        <v>45463</v>
      </c>
      <c r="C29" s="8" t="s">
        <v>68</v>
      </c>
      <c r="D29" s="8" t="s">
        <v>12</v>
      </c>
      <c r="E29" s="10">
        <v>150</v>
      </c>
      <c r="F29" t="s">
        <v>55</v>
      </c>
      <c r="G29" s="5"/>
    </row>
    <row r="30" spans="1:7" x14ac:dyDescent="0.25">
      <c r="A30" s="4"/>
      <c r="B30" s="9">
        <v>45463</v>
      </c>
      <c r="C30" s="8" t="s">
        <v>69</v>
      </c>
      <c r="D30" s="8" t="s">
        <v>10</v>
      </c>
      <c r="E30" s="10">
        <v>100</v>
      </c>
      <c r="F30" t="s">
        <v>55</v>
      </c>
      <c r="G30" s="5"/>
    </row>
    <row r="31" spans="1:7" x14ac:dyDescent="0.25">
      <c r="A31" s="4"/>
      <c r="B31" s="9">
        <v>45468</v>
      </c>
      <c r="C31" s="8" t="s">
        <v>70</v>
      </c>
      <c r="D31" s="8" t="s">
        <v>12</v>
      </c>
      <c r="E31" s="10">
        <v>300</v>
      </c>
      <c r="F31" t="s">
        <v>56</v>
      </c>
      <c r="G31" s="5"/>
    </row>
    <row r="32" spans="1:7" x14ac:dyDescent="0.25">
      <c r="A32" s="4"/>
      <c r="B32" s="9">
        <v>45463</v>
      </c>
      <c r="C32" s="8" t="s">
        <v>36</v>
      </c>
      <c r="D32" s="8" t="s">
        <v>7</v>
      </c>
      <c r="E32" s="10">
        <v>35</v>
      </c>
      <c r="F32" t="s">
        <v>56</v>
      </c>
      <c r="G32" s="5"/>
    </row>
    <row r="33" spans="1:7" x14ac:dyDescent="0.25">
      <c r="A33" s="4"/>
      <c r="B33" s="9"/>
      <c r="C33" s="8" t="s">
        <v>71</v>
      </c>
      <c r="D33" s="8" t="s">
        <v>59</v>
      </c>
      <c r="E33" s="10">
        <f>SUM(GastosVariadosNãoEssenciais[[#All],[Valor]])</f>
        <v>705</v>
      </c>
      <c r="F33" t="str">
        <f>_xlfn.IFNA(VLOOKUP("Não",GastosVariadosNãoEssenciais[Pago?],1,FALSE),"Sim")</f>
        <v>Não</v>
      </c>
      <c r="G33" s="5"/>
    </row>
    <row r="34" spans="1:7" x14ac:dyDescent="0.25">
      <c r="A34" s="4"/>
      <c r="B34" s="41"/>
      <c r="C34" s="41"/>
      <c r="D34" s="41"/>
      <c r="E34" s="41"/>
      <c r="F34" s="41"/>
      <c r="G34" s="5"/>
    </row>
    <row r="35" spans="1:7" x14ac:dyDescent="0.25">
      <c r="A35" s="2"/>
      <c r="B35" s="12"/>
      <c r="C35" s="42" t="s">
        <v>80</v>
      </c>
      <c r="D35" s="42"/>
      <c r="E35" s="42"/>
      <c r="F35" s="12"/>
      <c r="G35" s="3"/>
    </row>
    <row r="36" spans="1:7" x14ac:dyDescent="0.25">
      <c r="A36" s="4"/>
      <c r="B36" s="11"/>
      <c r="C36" t="s">
        <v>81</v>
      </c>
      <c r="D36" t="s">
        <v>84</v>
      </c>
      <c r="E36" t="s">
        <v>53</v>
      </c>
      <c r="F36" s="11"/>
      <c r="G36" s="5"/>
    </row>
    <row r="37" spans="1:7" x14ac:dyDescent="0.25">
      <c r="A37" s="4"/>
      <c r="B37" s="11"/>
      <c r="C37" s="15" t="s">
        <v>82</v>
      </c>
      <c r="D37" s="15"/>
      <c r="E37" s="15">
        <f>RendaTotal</f>
        <v>3200</v>
      </c>
      <c r="F37" s="11"/>
      <c r="G37" s="5"/>
    </row>
    <row r="38" spans="1:7" x14ac:dyDescent="0.25">
      <c r="A38" s="4"/>
      <c r="B38" s="11"/>
      <c r="C38" s="16" t="s">
        <v>64</v>
      </c>
      <c r="D38" s="16"/>
      <c r="E38" s="16">
        <f>FixosTotais</f>
        <v>1540</v>
      </c>
      <c r="F38" s="11"/>
      <c r="G38" s="5"/>
    </row>
    <row r="39" spans="1:7" x14ac:dyDescent="0.25">
      <c r="A39" s="4"/>
      <c r="B39" s="11"/>
      <c r="C39" s="16" t="s">
        <v>86</v>
      </c>
      <c r="D39" s="16"/>
      <c r="E39" s="16">
        <f>EssenciaisTotais</f>
        <v>940</v>
      </c>
      <c r="F39" s="11"/>
      <c r="G39" s="5"/>
    </row>
    <row r="40" spans="1:7" x14ac:dyDescent="0.25">
      <c r="A40" s="4"/>
      <c r="B40" s="11"/>
      <c r="C40" s="17" t="s">
        <v>87</v>
      </c>
      <c r="D40" s="17"/>
      <c r="E40" s="17">
        <f>NãoEssenciaisTotais</f>
        <v>705</v>
      </c>
      <c r="F40" s="11"/>
      <c r="G40" s="5"/>
    </row>
    <row r="41" spans="1:7" x14ac:dyDescent="0.25">
      <c r="A41" s="4"/>
      <c r="B41" s="11"/>
      <c r="C41" s="10" t="s">
        <v>83</v>
      </c>
      <c r="D41" s="10"/>
      <c r="E41" s="10">
        <f>E37-SUM(E38:E40)</f>
        <v>15</v>
      </c>
      <c r="F41" s="11"/>
      <c r="G41" s="5"/>
    </row>
    <row r="42" spans="1:7" x14ac:dyDescent="0.25">
      <c r="A42" s="6"/>
      <c r="B42" s="13"/>
      <c r="C42" s="13"/>
      <c r="D42" s="13"/>
      <c r="E42" s="13"/>
      <c r="F42" s="13"/>
      <c r="G42" s="7"/>
    </row>
  </sheetData>
  <sheetProtection algorithmName="SHA-512" hashValue="QOJ6Pz7zFdLcBJzI/GCIeXTelOAxhiORRBPFlpC7hpljxyQ4yQG1lQjOpdyWdSiXvEe3jPoXmRbpM/JdVSLTFA==" saltValue="TSZilHbg0ybLq55DTMYiZg==" spinCount="100000" sheet="1" objects="1" scenarios="1"/>
  <dataConsolidate/>
  <mergeCells count="11">
    <mergeCell ref="O11:P11"/>
    <mergeCell ref="Q11:T11"/>
    <mergeCell ref="C2:E2"/>
    <mergeCell ref="C35:E35"/>
    <mergeCell ref="A1:G1"/>
    <mergeCell ref="B34:F34"/>
    <mergeCell ref="B9:F9"/>
    <mergeCell ref="B17:F17"/>
    <mergeCell ref="B18:F18"/>
    <mergeCell ref="B25:F25"/>
    <mergeCell ref="B26:F26"/>
  </mergeCells>
  <conditionalFormatting sqref="E41">
    <cfRule type="cellIs" dxfId="480" priority="1" operator="lessThanOrEqual">
      <formula>0</formula>
    </cfRule>
    <cfRule type="cellIs" dxfId="479" priority="2" operator="between">
      <formula>100</formula>
      <formula>0</formula>
    </cfRule>
  </conditionalFormatting>
  <dataValidations count="2">
    <dataValidation type="list" allowBlank="1" showInputMessage="1" showErrorMessage="1" sqref="D11:D15 D20:D23 D28:D32" xr:uid="{FFF0CEF0-10F6-4582-8302-FFF7A8BE0150}">
      <formula1>Tipos</formula1>
    </dataValidation>
    <dataValidation type="date" allowBlank="1" showInputMessage="1" showErrorMessage="1" sqref="B11:B15 B20:B23 B28:B32 B4:B6" xr:uid="{1917623C-A95B-46C1-9BFB-B04EAE3681EC}">
      <formula1>43831</formula1>
      <formula2>73415</formula2>
    </dataValidation>
  </dataValidations>
  <hyperlinks>
    <hyperlink ref="Q11" r:id="rId1" xr:uid="{BA3F4BDB-0504-4565-92FA-4CC81828A174}"/>
  </hyperlinks>
  <pageMargins left="0.511811024" right="0.511811024" top="0.78740157499999996" bottom="0.78740157499999996" header="0.31496062000000002" footer="0.31496062000000002"/>
  <pageSetup paperSize="9"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DuplicarPlanilhaModelo">
                <anchor>
                  <from>
                    <xdr:col>0</xdr:col>
                    <xdr:colOff>66675</xdr:colOff>
                    <xdr:row>2</xdr:row>
                    <xdr:rowOff>28575</xdr:rowOff>
                  </from>
                  <to>
                    <xdr:col>1</xdr:col>
                    <xdr:colOff>676275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OcultarGraficos">
                <anchor moveWithCells="1">
                  <from>
                    <xdr:col>14</xdr:col>
                    <xdr:colOff>9525</xdr:colOff>
                    <xdr:row>3</xdr:row>
                    <xdr:rowOff>171450</xdr:rowOff>
                  </from>
                  <to>
                    <xdr:col>20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ExibirGraficos">
                <anchor moveWithCells="1" sizeWithCells="1">
                  <from>
                    <xdr:col>14</xdr:col>
                    <xdr:colOff>9525</xdr:colOff>
                    <xdr:row>0</xdr:row>
                    <xdr:rowOff>0</xdr:rowOff>
                  </from>
                  <to>
                    <xdr:col>19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5"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184CDA76-AA63-4C9F-812C-F0BF732073C3}">
            <xm:f>NOT(ISERROR(SEARCH('Tipos de Gastos'!$K$1,D3)))</xm:f>
            <xm:f>'Tipos de Gastos'!$K$1</xm:f>
            <x14:dxf>
              <fill>
                <patternFill>
                  <bgColor rgb="FFDAADA6"/>
                </patternFill>
              </fill>
            </x14:dxf>
          </x14:cfRule>
          <x14:cfRule type="containsText" priority="18" operator="containsText" id="{DFC3BB6F-626B-4FDC-9D29-3057BFB3674D}">
            <xm:f>NOT(ISERROR(SEARCH('Tipos de Gastos'!$J$1,D3)))</xm:f>
            <xm:f>'Tipos de Gastos'!$J$1</xm:f>
            <x14:dxf>
              <fill>
                <patternFill>
                  <bgColor rgb="FFB2B2B2"/>
                </patternFill>
              </fill>
            </x14:dxf>
          </x14:cfRule>
          <x14:cfRule type="containsText" priority="19" operator="containsText" id="{BD9E26D7-3A19-4EEC-AADF-C47E234DB67E}">
            <xm:f>NOT(ISERROR(SEARCH('Tipos de Gastos'!$I$1,D3)))</xm:f>
            <xm:f>'Tipos de Gastos'!$I$1</xm:f>
            <x14:dxf>
              <fill>
                <patternFill>
                  <bgColor rgb="FF00FF99"/>
                </patternFill>
              </fill>
            </x14:dxf>
          </x14:cfRule>
          <x14:cfRule type="containsText" priority="20" operator="containsText" id="{7FAE0BF5-4FD9-4036-B5B5-8C1F35D4B221}">
            <xm:f>NOT(ISERROR(SEARCH('Tipos de Gastos'!$H$1,D3)))</xm:f>
            <xm:f>'Tipos de Gastos'!$H$1</xm:f>
            <x14:dxf>
              <fill>
                <patternFill>
                  <bgColor rgb="FFCC99FF"/>
                </patternFill>
              </fill>
            </x14:dxf>
          </x14:cfRule>
          <x14:cfRule type="containsText" priority="21" operator="containsText" id="{BFE64475-F931-4796-A438-A6135F8B459B}">
            <xm:f>NOT(ISERROR(SEARCH('Tipos de Gastos'!$G$1,D3)))</xm:f>
            <xm:f>'Tipos de Gastos'!$G$1</xm:f>
            <x14:dxf>
              <fill>
                <patternFill>
                  <bgColor rgb="FF66FFCC"/>
                </patternFill>
              </fill>
            </x14:dxf>
          </x14:cfRule>
          <x14:cfRule type="containsText" priority="22" operator="containsText" id="{794CB4A7-9D85-417A-B770-C183B5E09F9B}">
            <xm:f>NOT(ISERROR(SEARCH('Tipos de Gastos'!$F$1,D3)))</xm:f>
            <xm:f>'Tipos de Gastos'!$F$1</xm:f>
            <x14:dxf>
              <fill>
                <patternFill>
                  <bgColor rgb="FF66FF66"/>
                </patternFill>
              </fill>
            </x14:dxf>
          </x14:cfRule>
          <x14:cfRule type="containsText" priority="23" operator="containsText" id="{A0C982FD-431D-497A-8EB2-AD0DE4953DDF}">
            <xm:f>NOT(ISERROR(SEARCH('Tipos de Gastos'!$E$1,D3)))</xm:f>
            <xm:f>'Tipos de Gastos'!$E$1</xm:f>
            <x14:dxf>
              <fill>
                <patternFill>
                  <bgColor rgb="FFCCFF33"/>
                </patternFill>
              </fill>
            </x14:dxf>
          </x14:cfRule>
          <x14:cfRule type="containsText" priority="24" operator="containsText" id="{025E8E63-EBD9-4DB7-8009-BFF99D86369B}">
            <xm:f>NOT(ISERROR(SEARCH('Tipos de Gastos'!$D$1,D3)))</xm:f>
            <xm:f>'Tipos de Gastos'!$D$1</xm:f>
            <x14:dxf>
              <fill>
                <patternFill>
                  <bgColor rgb="FFFF7C80"/>
                </patternFill>
              </fill>
            </x14:dxf>
          </x14:cfRule>
          <x14:cfRule type="containsText" priority="25" operator="containsText" id="{8CD6F296-F987-4DB1-97B3-8088BE8774A2}">
            <xm:f>NOT(ISERROR(SEARCH('Tipos de Gastos'!$C$1,D3)))</xm:f>
            <xm:f>'Tipos de Gastos'!$C$1</xm:f>
            <x14:dxf>
              <fill>
                <patternFill>
                  <bgColor rgb="FFFFCC66"/>
                </patternFill>
              </fill>
            </x14:dxf>
          </x14:cfRule>
          <x14:cfRule type="containsText" priority="26" operator="containsText" id="{A704385B-73E7-4BA8-9B7E-1BB6C3E5F36B}">
            <xm:f>NOT(ISERROR(SEARCH('Tipos de Gastos'!$B$1,D3)))</xm:f>
            <xm:f>'Tipos de Gastos'!$B$1</xm:f>
            <x14:dxf>
              <fill>
                <patternFill>
                  <bgColor rgb="FFFFFF66"/>
                </patternFill>
              </fill>
            </x14:dxf>
          </x14:cfRule>
          <x14:cfRule type="containsText" priority="27" operator="containsText" id="{F94E2A25-A6C2-41AA-B4C7-9CCF234B8574}">
            <xm:f>NOT(ISERROR(SEARCH('Tipos de Gastos'!$A$1,D3)))</xm:f>
            <xm:f>'Tipos de Gastos'!$A$1</xm:f>
            <x14:dxf>
              <fill>
                <patternFill patternType="solid">
                  <bgColor rgb="FFCC99FF"/>
                </patternFill>
              </fill>
            </x14:dxf>
          </x14:cfRule>
          <xm:sqref>D3 D7:D34 E37:E41 D42:D1048576</xm:sqref>
        </x14:conditionalFormatting>
        <x14:conditionalFormatting xmlns:xm="http://schemas.microsoft.com/office/excel/2006/main">
          <x14:cfRule type="containsText" priority="15" operator="containsText" id="{E5916A12-4503-4330-90A2-1210B884C668}">
            <xm:f>NOT(ISERROR(SEARCH('Variáveis de Seleção'!$A$2,B2)))</xm:f>
            <xm:f>'Variáveis de Seleção'!$A$2</xm:f>
            <x14:dxf>
              <font>
                <u val="double"/>
              </font>
              <fill>
                <patternFill>
                  <bgColor rgb="FF92D050"/>
                </patternFill>
              </fill>
            </x14:dxf>
          </x14:cfRule>
          <xm:sqref>E36:E41 C2 F2 B3:F3 B4:C6 E4:F6 B7:F34 B35:C41 F35:F41 B42:F1048576</xm:sqref>
        </x14:conditionalFormatting>
        <x14:conditionalFormatting xmlns:xm="http://schemas.microsoft.com/office/excel/2006/main">
          <x14:cfRule type="containsText" priority="16" operator="containsText" id="{D429D25E-73D9-4A22-A5EF-52CFC24DDE40}">
            <xm:f>NOT(ISERROR(SEARCH('Variáveis de Seleção'!$A$3,F2)))</xm:f>
            <xm:f>'Variáveis de Seleção'!$A$3</xm:f>
            <x14:dxf>
              <font>
                <b val="0"/>
                <i val="0"/>
                <u val="double"/>
                <color auto="1"/>
              </font>
              <fill>
                <patternFill patternType="solid">
                  <bgColor rgb="FFFFFF00"/>
                </patternFill>
              </fill>
            </x14:dxf>
          </x14:cfRule>
          <xm:sqref>F2:F1048576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4F0115-2E3E-4C37-B5B5-ECCEADDCF604}">
          <x14:formula1>
            <xm:f>'Variáveis de Seleção'!$A$2:$A$3</xm:f>
          </x14:formula1>
          <xm:sqref>F11:F15 F20:F23 F28:F32 F4:F6</xm:sqref>
        </x14:dataValidation>
        <x14:dataValidation type="list" allowBlank="1" showInputMessage="1" showErrorMessage="1" xr:uid="{26B11B00-6486-4ABD-B242-C286B9F1FD60}">
          <x14:formula1>
            <xm:f>'Variáveis de Seleção'!$B$2:$B$4</xm:f>
          </x14:formula1>
          <xm:sqref>D4:D6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4D1A9-9E3D-437B-9B53-D4791BFE7308}">
  <sheetPr codeName="Planilha3"/>
  <dimension ref="A1:B4"/>
  <sheetViews>
    <sheetView workbookViewId="0">
      <selection activeCell="B20" sqref="B20"/>
    </sheetView>
  </sheetViews>
  <sheetFormatPr defaultRowHeight="15" x14ac:dyDescent="0.25"/>
  <cols>
    <col min="2" max="2" width="24.7109375" bestFit="1" customWidth="1"/>
  </cols>
  <sheetData>
    <row r="1" spans="1:2" x14ac:dyDescent="0.25">
      <c r="A1" t="s">
        <v>54</v>
      </c>
      <c r="B1" t="s">
        <v>73</v>
      </c>
    </row>
    <row r="2" spans="1:2" x14ac:dyDescent="0.25">
      <c r="A2" t="s">
        <v>55</v>
      </c>
      <c r="B2" t="s">
        <v>79</v>
      </c>
    </row>
    <row r="3" spans="1:2" x14ac:dyDescent="0.25">
      <c r="A3" t="s">
        <v>56</v>
      </c>
      <c r="B3" t="s">
        <v>74</v>
      </c>
    </row>
    <row r="4" spans="1:2" x14ac:dyDescent="0.25">
      <c r="B4" t="s">
        <v>75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011FD-6E7F-40DA-86D4-EF9D27BDC6CD}">
  <sheetPr codeName="Planilha4"/>
  <dimension ref="A1:G42"/>
  <sheetViews>
    <sheetView showGridLines="0" zoomScaleNormal="100" workbookViewId="0">
      <selection activeCell="E12" sqref="E12"/>
    </sheetView>
  </sheetViews>
  <sheetFormatPr defaultRowHeight="15" x14ac:dyDescent="0.25"/>
  <cols>
    <col min="1" max="1" width="3.5703125" customWidth="1"/>
    <col min="2" max="2" width="10.7109375" customWidth="1"/>
    <col min="3" max="3" width="22.140625" customWidth="1"/>
    <col min="4" max="4" width="20.28515625" customWidth="1"/>
    <col min="5" max="5" width="12.140625" bestFit="1" customWidth="1"/>
    <col min="7" max="7" width="3.5703125" customWidth="1"/>
  </cols>
  <sheetData>
    <row r="1" spans="1:7" x14ac:dyDescent="0.25">
      <c r="A1" s="45" t="s">
        <v>92</v>
      </c>
      <c r="B1" s="45"/>
      <c r="C1" s="45"/>
      <c r="D1" s="45"/>
      <c r="E1" s="45"/>
      <c r="F1" s="45"/>
      <c r="G1" s="45"/>
    </row>
    <row r="2" spans="1:7" x14ac:dyDescent="0.25">
      <c r="A2" s="2"/>
      <c r="B2" s="11"/>
      <c r="C2" s="42" t="s">
        <v>72</v>
      </c>
      <c r="D2" s="42"/>
      <c r="E2" s="42"/>
      <c r="F2" s="12"/>
      <c r="G2" s="3"/>
    </row>
    <row r="3" spans="1:7" x14ac:dyDescent="0.25">
      <c r="A3" s="4"/>
      <c r="B3" s="11"/>
      <c r="C3" t="s">
        <v>51</v>
      </c>
      <c r="D3" t="s">
        <v>52</v>
      </c>
      <c r="E3" t="s">
        <v>53</v>
      </c>
      <c r="F3" s="11"/>
      <c r="G3" s="5"/>
    </row>
    <row r="4" spans="1:7" x14ac:dyDescent="0.25">
      <c r="A4" s="4"/>
      <c r="B4" s="14"/>
      <c r="C4" s="8" t="s">
        <v>76</v>
      </c>
      <c r="D4" s="8" t="s">
        <v>79</v>
      </c>
      <c r="E4" s="10"/>
      <c r="F4" s="11"/>
      <c r="G4" s="5"/>
    </row>
    <row r="5" spans="1:7" x14ac:dyDescent="0.25">
      <c r="A5" s="4"/>
      <c r="B5" s="14"/>
      <c r="C5" s="8" t="s">
        <v>77</v>
      </c>
      <c r="D5" s="8" t="s">
        <v>74</v>
      </c>
      <c r="E5" s="10"/>
      <c r="F5" s="11"/>
      <c r="G5" s="5"/>
    </row>
    <row r="6" spans="1:7" x14ac:dyDescent="0.25">
      <c r="A6" s="4"/>
      <c r="B6" s="14"/>
      <c r="C6" s="8" t="s">
        <v>78</v>
      </c>
      <c r="D6" s="8" t="s">
        <v>75</v>
      </c>
      <c r="E6" s="10"/>
      <c r="F6" s="11"/>
      <c r="G6" s="5"/>
    </row>
    <row r="7" spans="1:7" x14ac:dyDescent="0.25">
      <c r="A7" s="4"/>
      <c r="B7" s="14"/>
      <c r="C7" s="8"/>
      <c r="D7" s="8" t="s">
        <v>59</v>
      </c>
      <c r="E7" s="10">
        <f>SUM(Entrada11[Valor])</f>
        <v>0</v>
      </c>
      <c r="F7" s="11"/>
      <c r="G7" s="5"/>
    </row>
    <row r="8" spans="1:7" x14ac:dyDescent="0.25">
      <c r="A8" s="6"/>
      <c r="B8" s="13"/>
      <c r="C8" s="13"/>
      <c r="D8" s="13"/>
      <c r="E8" s="13"/>
      <c r="F8" s="13"/>
      <c r="G8" s="7"/>
    </row>
    <row r="9" spans="1:7" ht="18.75" customHeight="1" x14ac:dyDescent="0.25">
      <c r="A9" s="2"/>
      <c r="B9" s="42" t="s">
        <v>49</v>
      </c>
      <c r="C9" s="42"/>
      <c r="D9" s="42"/>
      <c r="E9" s="42"/>
      <c r="F9" s="42"/>
      <c r="G9" s="3"/>
    </row>
    <row r="10" spans="1:7" x14ac:dyDescent="0.25">
      <c r="A10" s="4"/>
      <c r="B10" t="s">
        <v>50</v>
      </c>
      <c r="C10" t="s">
        <v>51</v>
      </c>
      <c r="D10" t="s">
        <v>52</v>
      </c>
      <c r="E10" t="s">
        <v>53</v>
      </c>
      <c r="F10" t="s">
        <v>54</v>
      </c>
      <c r="G10" s="5"/>
    </row>
    <row r="11" spans="1:7" x14ac:dyDescent="0.25">
      <c r="A11" s="4"/>
      <c r="B11" s="9">
        <v>45453</v>
      </c>
      <c r="C11" s="8"/>
      <c r="D11" s="8"/>
      <c r="E11" s="10"/>
      <c r="G11" s="5"/>
    </row>
    <row r="12" spans="1:7" x14ac:dyDescent="0.25">
      <c r="A12" s="4"/>
      <c r="B12" s="9">
        <v>45453</v>
      </c>
      <c r="C12" s="8"/>
      <c r="D12" s="8"/>
      <c r="E12" s="10"/>
      <c r="G12" s="5"/>
    </row>
    <row r="13" spans="1:7" x14ac:dyDescent="0.25">
      <c r="A13" s="4"/>
      <c r="B13" s="9">
        <v>45458</v>
      </c>
      <c r="C13" s="8"/>
      <c r="D13" s="8"/>
      <c r="E13" s="10"/>
      <c r="G13" s="5"/>
    </row>
    <row r="14" spans="1:7" x14ac:dyDescent="0.25">
      <c r="A14" s="4"/>
      <c r="B14" s="9">
        <v>45463</v>
      </c>
      <c r="C14" s="8"/>
      <c r="D14" s="8"/>
      <c r="E14" s="10"/>
      <c r="G14" s="5"/>
    </row>
    <row r="15" spans="1:7" x14ac:dyDescent="0.25">
      <c r="A15" s="4"/>
      <c r="B15" s="9">
        <v>45451</v>
      </c>
      <c r="C15" s="8"/>
      <c r="D15" s="8"/>
      <c r="E15" s="10"/>
      <c r="G15" s="5"/>
    </row>
    <row r="16" spans="1:7" ht="18.75" customHeight="1" x14ac:dyDescent="0.25">
      <c r="A16" s="4"/>
      <c r="B16" s="9"/>
      <c r="C16" s="8" t="s">
        <v>64</v>
      </c>
      <c r="D16" s="8" t="s">
        <v>59</v>
      </c>
      <c r="E16" s="10">
        <f>SUM(GastosFixos7[[#All],[Valor]])</f>
        <v>0</v>
      </c>
      <c r="F16" t="str">
        <f>_xlfn.IFNA(VLOOKUP("Não",GastosFixos7[Pago?],1,FALSE),"Sim")</f>
        <v>Sim</v>
      </c>
      <c r="G16" s="5"/>
    </row>
    <row r="17" spans="1:7" ht="18.75" customHeight="1" x14ac:dyDescent="0.25">
      <c r="A17" s="6"/>
      <c r="B17" s="44"/>
      <c r="C17" s="44"/>
      <c r="D17" s="44"/>
      <c r="E17" s="44"/>
      <c r="F17" s="44"/>
      <c r="G17" s="7"/>
    </row>
    <row r="18" spans="1:7" ht="18.75" customHeight="1" x14ac:dyDescent="0.25">
      <c r="A18" s="2"/>
      <c r="B18" s="42" t="s">
        <v>63</v>
      </c>
      <c r="C18" s="42"/>
      <c r="D18" s="42"/>
      <c r="E18" s="42"/>
      <c r="F18" s="42"/>
      <c r="G18" s="3"/>
    </row>
    <row r="19" spans="1:7" x14ac:dyDescent="0.25">
      <c r="A19" s="4"/>
      <c r="B19" t="s">
        <v>50</v>
      </c>
      <c r="C19" t="s">
        <v>51</v>
      </c>
      <c r="D19" t="s">
        <v>52</v>
      </c>
      <c r="E19" t="s">
        <v>53</v>
      </c>
      <c r="F19" t="s">
        <v>54</v>
      </c>
      <c r="G19" s="5"/>
    </row>
    <row r="20" spans="1:7" x14ac:dyDescent="0.25">
      <c r="A20" s="4"/>
      <c r="B20" s="9">
        <f t="shared" ref="B20" ca="1" si="0">TODAY()</f>
        <v>45475</v>
      </c>
      <c r="C20" s="8"/>
      <c r="D20" s="8"/>
      <c r="E20" s="10"/>
      <c r="G20" s="5"/>
    </row>
    <row r="21" spans="1:7" x14ac:dyDescent="0.25">
      <c r="A21" s="4"/>
      <c r="B21" s="9">
        <f ca="1">TODAY()</f>
        <v>45475</v>
      </c>
      <c r="C21" s="8"/>
      <c r="D21" s="8"/>
      <c r="E21" s="10"/>
      <c r="G21" s="5"/>
    </row>
    <row r="22" spans="1:7" x14ac:dyDescent="0.25">
      <c r="A22" s="4"/>
      <c r="B22" s="9">
        <f t="shared" ref="B22:B23" ca="1" si="1">TODAY()</f>
        <v>45475</v>
      </c>
      <c r="C22" s="8"/>
      <c r="D22" s="8"/>
      <c r="E22" s="10"/>
      <c r="G22" s="5"/>
    </row>
    <row r="23" spans="1:7" x14ac:dyDescent="0.25">
      <c r="A23" s="4"/>
      <c r="B23" s="9">
        <f t="shared" ca="1" si="1"/>
        <v>45475</v>
      </c>
      <c r="C23" s="8"/>
      <c r="D23" s="8"/>
      <c r="E23" s="10"/>
      <c r="G23" s="5"/>
    </row>
    <row r="24" spans="1:7" x14ac:dyDescent="0.25">
      <c r="A24" s="4"/>
      <c r="B24" s="9"/>
      <c r="C24" s="8" t="s">
        <v>65</v>
      </c>
      <c r="D24" s="8" t="s">
        <v>59</v>
      </c>
      <c r="E24" s="10">
        <f>SUM(GastosVariadosEssenciais9[[#All],[Valor]])</f>
        <v>0</v>
      </c>
      <c r="F24" t="str">
        <f>_xlfn.IFNA(VLOOKUP("Não",GastosVariadosEssenciais9[Pago?],1,FALSE),"Sim")</f>
        <v>Sim</v>
      </c>
      <c r="G24" s="5"/>
    </row>
    <row r="25" spans="1:7" x14ac:dyDescent="0.25">
      <c r="A25" s="6"/>
      <c r="B25" s="44"/>
      <c r="C25" s="44"/>
      <c r="D25" s="44"/>
      <c r="E25" s="44"/>
      <c r="F25" s="44"/>
      <c r="G25" s="7"/>
    </row>
    <row r="26" spans="1:7" x14ac:dyDescent="0.25">
      <c r="A26" s="2"/>
      <c r="B26" s="42" t="s">
        <v>67</v>
      </c>
      <c r="C26" s="42"/>
      <c r="D26" s="42"/>
      <c r="E26" s="42"/>
      <c r="F26" s="42"/>
      <c r="G26" s="3"/>
    </row>
    <row r="27" spans="1:7" x14ac:dyDescent="0.25">
      <c r="A27" s="4"/>
      <c r="B27" t="s">
        <v>50</v>
      </c>
      <c r="C27" t="s">
        <v>51</v>
      </c>
      <c r="D27" t="s">
        <v>52</v>
      </c>
      <c r="E27" t="s">
        <v>53</v>
      </c>
      <c r="F27" t="s">
        <v>54</v>
      </c>
      <c r="G27" s="5"/>
    </row>
    <row r="28" spans="1:7" x14ac:dyDescent="0.25">
      <c r="A28" s="4"/>
      <c r="B28" s="9">
        <v>45463</v>
      </c>
      <c r="C28" s="8"/>
      <c r="D28" s="8"/>
      <c r="E28" s="10"/>
      <c r="G28" s="5"/>
    </row>
    <row r="29" spans="1:7" x14ac:dyDescent="0.25">
      <c r="A29" s="4"/>
      <c r="B29" s="9">
        <v>45463</v>
      </c>
      <c r="C29" s="8"/>
      <c r="D29" s="8"/>
      <c r="E29" s="10"/>
      <c r="G29" s="5"/>
    </row>
    <row r="30" spans="1:7" x14ac:dyDescent="0.25">
      <c r="A30" s="4"/>
      <c r="B30" s="9">
        <v>45463</v>
      </c>
      <c r="C30" s="8"/>
      <c r="D30" s="8"/>
      <c r="E30" s="10"/>
      <c r="G30" s="5"/>
    </row>
    <row r="31" spans="1:7" x14ac:dyDescent="0.25">
      <c r="A31" s="4"/>
      <c r="B31" s="9">
        <v>45468</v>
      </c>
      <c r="C31" s="8"/>
      <c r="D31" s="8"/>
      <c r="E31" s="10"/>
      <c r="G31" s="5"/>
    </row>
    <row r="32" spans="1:7" x14ac:dyDescent="0.25">
      <c r="A32" s="4"/>
      <c r="B32" s="9">
        <v>45463</v>
      </c>
      <c r="C32" s="8"/>
      <c r="D32" s="8"/>
      <c r="E32" s="10"/>
      <c r="G32" s="5"/>
    </row>
    <row r="33" spans="1:7" x14ac:dyDescent="0.25">
      <c r="A33" s="4"/>
      <c r="B33" s="9"/>
      <c r="C33" s="8" t="s">
        <v>71</v>
      </c>
      <c r="D33" s="8" t="s">
        <v>59</v>
      </c>
      <c r="E33" s="10">
        <f>SUM(GastosVariadosNãoEssenciais10[[#All],[Valor]])</f>
        <v>0</v>
      </c>
      <c r="F33" t="str">
        <f>_xlfn.IFNA(VLOOKUP("Não",GastosVariadosNãoEssenciais10[Pago?],1,FALSE),"Sim")</f>
        <v>Sim</v>
      </c>
      <c r="G33" s="5"/>
    </row>
    <row r="34" spans="1:7" x14ac:dyDescent="0.25">
      <c r="A34" s="4"/>
      <c r="B34" s="41"/>
      <c r="C34" s="41"/>
      <c r="D34" s="41"/>
      <c r="E34" s="41"/>
      <c r="F34" s="41"/>
      <c r="G34" s="5"/>
    </row>
    <row r="35" spans="1:7" x14ac:dyDescent="0.25">
      <c r="A35" s="2"/>
      <c r="B35" s="12"/>
      <c r="C35" s="42" t="s">
        <v>80</v>
      </c>
      <c r="D35" s="42"/>
      <c r="E35" s="42"/>
      <c r="F35" s="12"/>
      <c r="G35" s="3"/>
    </row>
    <row r="36" spans="1:7" x14ac:dyDescent="0.25">
      <c r="A36" s="4"/>
      <c r="B36" s="11"/>
      <c r="C36" t="s">
        <v>81</v>
      </c>
      <c r="D36" t="s">
        <v>84</v>
      </c>
      <c r="E36" t="s">
        <v>53</v>
      </c>
      <c r="F36" s="11"/>
      <c r="G36" s="5"/>
    </row>
    <row r="37" spans="1:7" x14ac:dyDescent="0.25">
      <c r="A37" s="4"/>
      <c r="B37" s="11"/>
      <c r="C37" s="15" t="s">
        <v>82</v>
      </c>
      <c r="D37" s="15"/>
      <c r="E37" s="15">
        <f>RendaTotal</f>
        <v>0</v>
      </c>
      <c r="F37" s="11"/>
      <c r="G37" s="5"/>
    </row>
    <row r="38" spans="1:7" x14ac:dyDescent="0.25">
      <c r="A38" s="4"/>
      <c r="B38" s="11"/>
      <c r="C38" s="16" t="s">
        <v>64</v>
      </c>
      <c r="D38" s="16"/>
      <c r="E38" s="16">
        <f>FixosTotais</f>
        <v>0</v>
      </c>
      <c r="F38" s="11"/>
      <c r="G38" s="5"/>
    </row>
    <row r="39" spans="1:7" x14ac:dyDescent="0.25">
      <c r="A39" s="4"/>
      <c r="B39" s="11"/>
      <c r="C39" s="16" t="s">
        <v>86</v>
      </c>
      <c r="D39" s="16"/>
      <c r="E39" s="16">
        <f>EssenciaisTotais</f>
        <v>0</v>
      </c>
      <c r="F39" s="11"/>
      <c r="G39" s="5"/>
    </row>
    <row r="40" spans="1:7" x14ac:dyDescent="0.25">
      <c r="A40" s="4"/>
      <c r="B40" s="11"/>
      <c r="C40" s="17" t="s">
        <v>87</v>
      </c>
      <c r="D40" s="17"/>
      <c r="E40" s="17">
        <f>NãoEssenciaisTotais</f>
        <v>0</v>
      </c>
      <c r="F40" s="11"/>
      <c r="G40" s="5"/>
    </row>
    <row r="41" spans="1:7" x14ac:dyDescent="0.25">
      <c r="A41" s="4"/>
      <c r="B41" s="11"/>
      <c r="C41" s="10" t="s">
        <v>83</v>
      </c>
      <c r="D41" s="10"/>
      <c r="E41" s="10">
        <f>E37-SUM(E38:E40)</f>
        <v>0</v>
      </c>
      <c r="F41" s="11"/>
      <c r="G41" s="5"/>
    </row>
    <row r="42" spans="1:7" x14ac:dyDescent="0.25">
      <c r="A42" s="6"/>
      <c r="B42" s="13"/>
      <c r="C42" s="13"/>
      <c r="D42" s="13"/>
      <c r="E42" s="13"/>
      <c r="F42" s="13"/>
      <c r="G42" s="7"/>
    </row>
  </sheetData>
  <dataConsolidate/>
  <mergeCells count="9">
    <mergeCell ref="B26:F26"/>
    <mergeCell ref="B34:F34"/>
    <mergeCell ref="C35:E35"/>
    <mergeCell ref="A1:G1"/>
    <mergeCell ref="C2:E2"/>
    <mergeCell ref="B9:F9"/>
    <mergeCell ref="B17:F17"/>
    <mergeCell ref="B18:F18"/>
    <mergeCell ref="B25:F25"/>
  </mergeCells>
  <conditionalFormatting sqref="E41">
    <cfRule type="cellIs" dxfId="444" priority="1" operator="lessThanOrEqual">
      <formula>0</formula>
    </cfRule>
    <cfRule type="cellIs" dxfId="443" priority="2" operator="between">
      <formula>100</formula>
      <formula>0</formula>
    </cfRule>
  </conditionalFormatting>
  <dataValidations count="2">
    <dataValidation type="date" allowBlank="1" showInputMessage="1" showErrorMessage="1" sqref="B11:B15 B20:B23 B28:B32 B4:B6" xr:uid="{1FB1A983-F5F9-448E-8497-013646D12688}">
      <formula1>43831</formula1>
      <formula2>73415</formula2>
    </dataValidation>
    <dataValidation type="list" allowBlank="1" showInputMessage="1" showErrorMessage="1" sqref="D11:D15 D20:D23 D28:D32" xr:uid="{792355C2-558B-40C1-BAFD-C2B7030601F3}">
      <formula1>Tipos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cultarGraficos">
                <anchor moveWithCells="1">
                  <from>
                    <xdr:col>14</xdr:col>
                    <xdr:colOff>9525</xdr:colOff>
                    <xdr:row>3</xdr:row>
                    <xdr:rowOff>180975</xdr:rowOff>
                  </from>
                  <to>
                    <xdr:col>20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xibirGraficos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19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947183C9-DF49-49E2-BC53-AB6C472E2339}">
            <xm:f>NOT(ISERROR(SEARCH('Tipos de Gastos'!$K$1,D3)))</xm:f>
            <xm:f>'Tipos de Gastos'!$K$1</xm:f>
            <x14:dxf>
              <fill>
                <patternFill>
                  <bgColor rgb="FFDAADA6"/>
                </patternFill>
              </fill>
            </x14:dxf>
          </x14:cfRule>
          <x14:cfRule type="containsText" priority="6" operator="containsText" id="{EE704AE3-502D-4A98-A9EC-6F3CA52B1307}">
            <xm:f>NOT(ISERROR(SEARCH('Tipos de Gastos'!$J$1,D3)))</xm:f>
            <xm:f>'Tipos de Gastos'!$J$1</xm:f>
            <x14:dxf>
              <fill>
                <patternFill>
                  <bgColor rgb="FFB2B2B2"/>
                </patternFill>
              </fill>
            </x14:dxf>
          </x14:cfRule>
          <x14:cfRule type="containsText" priority="7" operator="containsText" id="{6F997C8D-B25C-46DF-A788-6CB5BAACECA5}">
            <xm:f>NOT(ISERROR(SEARCH('Tipos de Gastos'!$I$1,D3)))</xm:f>
            <xm:f>'Tipos de Gastos'!$I$1</xm:f>
            <x14:dxf>
              <fill>
                <patternFill>
                  <bgColor rgb="FF00FF99"/>
                </patternFill>
              </fill>
            </x14:dxf>
          </x14:cfRule>
          <x14:cfRule type="containsText" priority="8" operator="containsText" id="{5F9A88AD-013B-4750-97A3-FABA217374C0}">
            <xm:f>NOT(ISERROR(SEARCH('Tipos de Gastos'!$H$1,D3)))</xm:f>
            <xm:f>'Tipos de Gastos'!$H$1</xm:f>
            <x14:dxf>
              <fill>
                <patternFill>
                  <bgColor rgb="FFCC99FF"/>
                </patternFill>
              </fill>
            </x14:dxf>
          </x14:cfRule>
          <x14:cfRule type="containsText" priority="9" operator="containsText" id="{6B2B55BA-55FE-42A8-9DD3-3989E810B243}">
            <xm:f>NOT(ISERROR(SEARCH('Tipos de Gastos'!$G$1,D3)))</xm:f>
            <xm:f>'Tipos de Gastos'!$G$1</xm:f>
            <x14:dxf>
              <fill>
                <patternFill>
                  <bgColor rgb="FF66FFCC"/>
                </patternFill>
              </fill>
            </x14:dxf>
          </x14:cfRule>
          <x14:cfRule type="containsText" priority="10" operator="containsText" id="{59B8799C-0F36-47F5-A60F-32B492620B86}">
            <xm:f>NOT(ISERROR(SEARCH('Tipos de Gastos'!$F$1,D3)))</xm:f>
            <xm:f>'Tipos de Gastos'!$F$1</xm:f>
            <x14:dxf>
              <fill>
                <patternFill>
                  <bgColor rgb="FF66FF66"/>
                </patternFill>
              </fill>
            </x14:dxf>
          </x14:cfRule>
          <x14:cfRule type="containsText" priority="11" operator="containsText" id="{E1EE28E8-32E8-4CA0-A38F-CDC6AA359B0C}">
            <xm:f>NOT(ISERROR(SEARCH('Tipos de Gastos'!$E$1,D3)))</xm:f>
            <xm:f>'Tipos de Gastos'!$E$1</xm:f>
            <x14:dxf>
              <fill>
                <patternFill>
                  <bgColor rgb="FFCCFF33"/>
                </patternFill>
              </fill>
            </x14:dxf>
          </x14:cfRule>
          <x14:cfRule type="containsText" priority="12" operator="containsText" id="{BF01C7F9-9F45-42E3-818C-0074A57EEC81}">
            <xm:f>NOT(ISERROR(SEARCH('Tipos de Gastos'!$D$1,D3)))</xm:f>
            <xm:f>'Tipos de Gastos'!$D$1</xm:f>
            <x14:dxf>
              <fill>
                <patternFill>
                  <bgColor rgb="FFFF7C80"/>
                </patternFill>
              </fill>
            </x14:dxf>
          </x14:cfRule>
          <x14:cfRule type="containsText" priority="13" operator="containsText" id="{87299F3E-C28D-46D2-9405-54F2009CCB3B}">
            <xm:f>NOT(ISERROR(SEARCH('Tipos de Gastos'!$C$1,D3)))</xm:f>
            <xm:f>'Tipos de Gastos'!$C$1</xm:f>
            <x14:dxf>
              <fill>
                <patternFill>
                  <bgColor rgb="FFFFCC66"/>
                </patternFill>
              </fill>
            </x14:dxf>
          </x14:cfRule>
          <x14:cfRule type="containsText" priority="14" operator="containsText" id="{1BC23D99-0B4E-416A-B21E-6895D5743C81}">
            <xm:f>NOT(ISERROR(SEARCH('Tipos de Gastos'!$B$1,D3)))</xm:f>
            <xm:f>'Tipos de Gastos'!$B$1</xm:f>
            <x14:dxf>
              <fill>
                <patternFill>
                  <bgColor rgb="FFFFFF66"/>
                </patternFill>
              </fill>
            </x14:dxf>
          </x14:cfRule>
          <x14:cfRule type="containsText" priority="15" operator="containsText" id="{E7CD53D6-8D46-4EEB-81C4-4C89220A4525}">
            <xm:f>NOT(ISERROR(SEARCH('Tipos de Gastos'!$A$1,D3)))</xm:f>
            <xm:f>'Tipos de Gastos'!$A$1</xm:f>
            <x14:dxf>
              <fill>
                <patternFill patternType="solid">
                  <bgColor rgb="FFCC99FF"/>
                </patternFill>
              </fill>
            </x14:dxf>
          </x14:cfRule>
          <xm:sqref>D3 D7:D34 E37:E41 D42:D1048576</xm:sqref>
        </x14:conditionalFormatting>
        <x14:conditionalFormatting xmlns:xm="http://schemas.microsoft.com/office/excel/2006/main">
          <x14:cfRule type="containsText" priority="3" operator="containsText" id="{6B5FA123-9CCB-47EF-96B2-1B48D8921126}">
            <xm:f>NOT(ISERROR(SEARCH('Variáveis de Seleção'!$A$2,B2)))</xm:f>
            <xm:f>'Variáveis de Seleção'!$A$2</xm:f>
            <x14:dxf>
              <font>
                <u val="double"/>
              </font>
              <fill>
                <patternFill>
                  <bgColor rgb="FF92D050"/>
                </patternFill>
              </fill>
            </x14:dxf>
          </x14:cfRule>
          <xm:sqref>E36:E41 C2 F2 B3:F3 B4:C6 E4:F6 B7:F34 B35:C41 F35:F41 B42:F1048576</xm:sqref>
        </x14:conditionalFormatting>
        <x14:conditionalFormatting xmlns:xm="http://schemas.microsoft.com/office/excel/2006/main">
          <x14:cfRule type="containsText" priority="4" operator="containsText" id="{B0BE84A9-9926-43D3-8A44-C2008196E322}">
            <xm:f>NOT(ISERROR(SEARCH('Variáveis de Seleção'!$A$3,F2)))</xm:f>
            <xm:f>'Variáveis de Seleção'!$A$3</xm:f>
            <x14:dxf>
              <font>
                <b val="0"/>
                <i val="0"/>
                <u val="double"/>
                <color auto="1"/>
              </font>
              <fill>
                <patternFill patternType="solid">
                  <bgColor rgb="FFFFFF00"/>
                </patternFill>
              </fill>
            </x14:dxf>
          </x14:cfRule>
          <xm:sqref>F2:F1048576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744273-581A-4E6F-B091-6DD2DF61D13B}">
          <x14:formula1>
            <xm:f>'Variáveis de Seleção'!$B$2:$B$4</xm:f>
          </x14:formula1>
          <xm:sqref>D4:D6</xm:sqref>
        </x14:dataValidation>
        <x14:dataValidation type="list" allowBlank="1" showInputMessage="1" showErrorMessage="1" xr:uid="{65AC23D2-50B1-4F5F-B5AC-554282DE2E0C}">
          <x14:formula1>
            <xm:f>'Variáveis de Seleção'!$A$2:$A$3</xm:f>
          </x14:formula1>
          <xm:sqref>F11:F15 F20:F23 F28:F32 F4:F6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096FC-9897-4CB6-B709-039DA8AB78EF}">
  <sheetPr codeName="Planilha6"/>
  <dimension ref="A1:G42"/>
  <sheetViews>
    <sheetView showGridLines="0" zoomScaleNormal="100" workbookViewId="0">
      <selection activeCell="E12" sqref="E12"/>
    </sheetView>
  </sheetViews>
  <sheetFormatPr defaultRowHeight="15" x14ac:dyDescent="0.25"/>
  <cols>
    <col min="1" max="1" width="3.5703125" customWidth="1"/>
    <col min="2" max="2" width="10.7109375" customWidth="1"/>
    <col min="3" max="3" width="22.140625" customWidth="1"/>
    <col min="4" max="4" width="20.28515625" customWidth="1"/>
    <col min="5" max="5" width="12.140625" bestFit="1" customWidth="1"/>
    <col min="7" max="7" width="3.5703125" customWidth="1"/>
  </cols>
  <sheetData>
    <row r="1" spans="1:7" x14ac:dyDescent="0.25">
      <c r="A1" s="45" t="s">
        <v>93</v>
      </c>
      <c r="B1" s="45"/>
      <c r="C1" s="45"/>
      <c r="D1" s="45"/>
      <c r="E1" s="45"/>
      <c r="F1" s="45"/>
      <c r="G1" s="45"/>
    </row>
    <row r="2" spans="1:7" x14ac:dyDescent="0.25">
      <c r="A2" s="2"/>
      <c r="B2" s="11"/>
      <c r="C2" s="42" t="s">
        <v>72</v>
      </c>
      <c r="D2" s="42"/>
      <c r="E2" s="42"/>
      <c r="F2" s="12"/>
      <c r="G2" s="3"/>
    </row>
    <row r="3" spans="1:7" x14ac:dyDescent="0.25">
      <c r="A3" s="4"/>
      <c r="B3" s="11"/>
      <c r="C3" t="s">
        <v>51</v>
      </c>
      <c r="D3" t="s">
        <v>52</v>
      </c>
      <c r="E3" t="s">
        <v>53</v>
      </c>
      <c r="F3" s="11"/>
      <c r="G3" s="5"/>
    </row>
    <row r="4" spans="1:7" x14ac:dyDescent="0.25">
      <c r="A4" s="4"/>
      <c r="B4" s="14"/>
      <c r="C4" s="8" t="s">
        <v>76</v>
      </c>
      <c r="D4" s="8" t="s">
        <v>79</v>
      </c>
      <c r="E4" s="10"/>
      <c r="F4" s="11"/>
      <c r="G4" s="5"/>
    </row>
    <row r="5" spans="1:7" x14ac:dyDescent="0.25">
      <c r="A5" s="4"/>
      <c r="B5" s="14"/>
      <c r="C5" s="8" t="s">
        <v>77</v>
      </c>
      <c r="D5" s="8" t="s">
        <v>74</v>
      </c>
      <c r="E5" s="10"/>
      <c r="F5" s="11"/>
      <c r="G5" s="5"/>
    </row>
    <row r="6" spans="1:7" x14ac:dyDescent="0.25">
      <c r="A6" s="4"/>
      <c r="B6" s="14"/>
      <c r="C6" s="8" t="s">
        <v>78</v>
      </c>
      <c r="D6" s="8" t="s">
        <v>75</v>
      </c>
      <c r="E6" s="10"/>
      <c r="F6" s="11"/>
      <c r="G6" s="5"/>
    </row>
    <row r="7" spans="1:7" x14ac:dyDescent="0.25">
      <c r="A7" s="4"/>
      <c r="B7" s="14"/>
      <c r="C7" s="8"/>
      <c r="D7" s="8" t="s">
        <v>59</v>
      </c>
      <c r="E7" s="10">
        <f>SUM(Entrada11191[Valor])</f>
        <v>0</v>
      </c>
      <c r="F7" s="11"/>
      <c r="G7" s="5"/>
    </row>
    <row r="8" spans="1:7" x14ac:dyDescent="0.25">
      <c r="A8" s="6"/>
      <c r="B8" s="13"/>
      <c r="C8" s="13"/>
      <c r="D8" s="13"/>
      <c r="E8" s="13"/>
      <c r="F8" s="13"/>
      <c r="G8" s="7"/>
    </row>
    <row r="9" spans="1:7" ht="18.75" customHeight="1" x14ac:dyDescent="0.25">
      <c r="A9" s="2"/>
      <c r="B9" s="42" t="s">
        <v>49</v>
      </c>
      <c r="C9" s="42"/>
      <c r="D9" s="42"/>
      <c r="E9" s="42"/>
      <c r="F9" s="42"/>
      <c r="G9" s="3"/>
    </row>
    <row r="10" spans="1:7" x14ac:dyDescent="0.25">
      <c r="A10" s="4"/>
      <c r="B10" t="s">
        <v>50</v>
      </c>
      <c r="C10" t="s">
        <v>51</v>
      </c>
      <c r="D10" t="s">
        <v>52</v>
      </c>
      <c r="E10" t="s">
        <v>53</v>
      </c>
      <c r="F10" t="s">
        <v>54</v>
      </c>
      <c r="G10" s="5"/>
    </row>
    <row r="11" spans="1:7" x14ac:dyDescent="0.25">
      <c r="A11" s="4"/>
      <c r="B11" s="9">
        <v>45453</v>
      </c>
      <c r="C11" s="8"/>
      <c r="D11" s="8"/>
      <c r="E11" s="10"/>
      <c r="G11" s="5"/>
    </row>
    <row r="12" spans="1:7" x14ac:dyDescent="0.25">
      <c r="A12" s="4"/>
      <c r="B12" s="9">
        <v>45453</v>
      </c>
      <c r="C12" s="8"/>
      <c r="D12" s="8"/>
      <c r="E12" s="10"/>
      <c r="G12" s="5"/>
    </row>
    <row r="13" spans="1:7" x14ac:dyDescent="0.25">
      <c r="A13" s="4"/>
      <c r="B13" s="9">
        <v>45458</v>
      </c>
      <c r="C13" s="8"/>
      <c r="D13" s="8"/>
      <c r="E13" s="10"/>
      <c r="G13" s="5"/>
    </row>
    <row r="14" spans="1:7" x14ac:dyDescent="0.25">
      <c r="A14" s="4"/>
      <c r="B14" s="9">
        <v>45463</v>
      </c>
      <c r="C14" s="8"/>
      <c r="D14" s="8"/>
      <c r="E14" s="10"/>
      <c r="G14" s="5"/>
    </row>
    <row r="15" spans="1:7" x14ac:dyDescent="0.25">
      <c r="A15" s="4"/>
      <c r="B15" s="9">
        <v>45451</v>
      </c>
      <c r="C15" s="8"/>
      <c r="D15" s="8"/>
      <c r="E15" s="10"/>
      <c r="G15" s="5"/>
    </row>
    <row r="16" spans="1:7" ht="18.75" customHeight="1" x14ac:dyDescent="0.25">
      <c r="A16" s="4"/>
      <c r="B16" s="9"/>
      <c r="C16" s="8" t="s">
        <v>64</v>
      </c>
      <c r="D16" s="8" t="s">
        <v>59</v>
      </c>
      <c r="E16" s="10">
        <f>SUM(GastosFixos7188[[#All],[Valor]])</f>
        <v>0</v>
      </c>
      <c r="F16" t="str">
        <f>_xlfn.IFNA(VLOOKUP("Não",GastosFixos7188[Pago?],1,FALSE),"Sim")</f>
        <v>Sim</v>
      </c>
      <c r="G16" s="5"/>
    </row>
    <row r="17" spans="1:7" ht="18.75" customHeight="1" x14ac:dyDescent="0.25">
      <c r="A17" s="6"/>
      <c r="B17" s="44"/>
      <c r="C17" s="44"/>
      <c r="D17" s="44"/>
      <c r="E17" s="44"/>
      <c r="F17" s="44"/>
      <c r="G17" s="7"/>
    </row>
    <row r="18" spans="1:7" ht="18.75" customHeight="1" x14ac:dyDescent="0.25">
      <c r="A18" s="2"/>
      <c r="B18" s="42" t="s">
        <v>63</v>
      </c>
      <c r="C18" s="42"/>
      <c r="D18" s="42"/>
      <c r="E18" s="42"/>
      <c r="F18" s="42"/>
      <c r="G18" s="3"/>
    </row>
    <row r="19" spans="1:7" x14ac:dyDescent="0.25">
      <c r="A19" s="4"/>
      <c r="B19" t="s">
        <v>50</v>
      </c>
      <c r="C19" t="s">
        <v>51</v>
      </c>
      <c r="D19" t="s">
        <v>52</v>
      </c>
      <c r="E19" t="s">
        <v>53</v>
      </c>
      <c r="F19" t="s">
        <v>54</v>
      </c>
      <c r="G19" s="5"/>
    </row>
    <row r="20" spans="1:7" x14ac:dyDescent="0.25">
      <c r="A20" s="4"/>
      <c r="B20" s="9">
        <f t="shared" ref="B20" ca="1" si="0">TODAY()</f>
        <v>45475</v>
      </c>
      <c r="C20" s="8"/>
      <c r="D20" s="8"/>
      <c r="E20" s="10"/>
      <c r="G20" s="5"/>
    </row>
    <row r="21" spans="1:7" x14ac:dyDescent="0.25">
      <c r="A21" s="4"/>
      <c r="B21" s="9">
        <f ca="1">TODAY()</f>
        <v>45475</v>
      </c>
      <c r="C21" s="8"/>
      <c r="D21" s="8"/>
      <c r="E21" s="10"/>
      <c r="G21" s="5"/>
    </row>
    <row r="22" spans="1:7" x14ac:dyDescent="0.25">
      <c r="A22" s="4"/>
      <c r="B22" s="9">
        <f t="shared" ref="B22:B23" ca="1" si="1">TODAY()</f>
        <v>45475</v>
      </c>
      <c r="C22" s="8"/>
      <c r="D22" s="8"/>
      <c r="E22" s="10"/>
      <c r="G22" s="5"/>
    </row>
    <row r="23" spans="1:7" x14ac:dyDescent="0.25">
      <c r="A23" s="4"/>
      <c r="B23" s="9">
        <f t="shared" ca="1" si="1"/>
        <v>45475</v>
      </c>
      <c r="C23" s="8"/>
      <c r="D23" s="8"/>
      <c r="E23" s="10"/>
      <c r="G23" s="5"/>
    </row>
    <row r="24" spans="1:7" x14ac:dyDescent="0.25">
      <c r="A24" s="4"/>
      <c r="B24" s="9"/>
      <c r="C24" s="8" t="s">
        <v>65</v>
      </c>
      <c r="D24" s="8" t="s">
        <v>59</v>
      </c>
      <c r="E24" s="10">
        <f>SUM(GastosVariadosEssenciais9189[[#All],[Valor]])</f>
        <v>0</v>
      </c>
      <c r="F24" t="str">
        <f>_xlfn.IFNA(VLOOKUP("Não",GastosVariadosEssenciais9189[Pago?],1,FALSE),"Sim")</f>
        <v>Sim</v>
      </c>
      <c r="G24" s="5"/>
    </row>
    <row r="25" spans="1:7" x14ac:dyDescent="0.25">
      <c r="A25" s="6"/>
      <c r="B25" s="44"/>
      <c r="C25" s="44"/>
      <c r="D25" s="44"/>
      <c r="E25" s="44"/>
      <c r="F25" s="44"/>
      <c r="G25" s="7"/>
    </row>
    <row r="26" spans="1:7" x14ac:dyDescent="0.25">
      <c r="A26" s="2"/>
      <c r="B26" s="42" t="s">
        <v>67</v>
      </c>
      <c r="C26" s="42"/>
      <c r="D26" s="42"/>
      <c r="E26" s="42"/>
      <c r="F26" s="42"/>
      <c r="G26" s="3"/>
    </row>
    <row r="27" spans="1:7" x14ac:dyDescent="0.25">
      <c r="A27" s="4"/>
      <c r="B27" t="s">
        <v>50</v>
      </c>
      <c r="C27" t="s">
        <v>51</v>
      </c>
      <c r="D27" t="s">
        <v>52</v>
      </c>
      <c r="E27" t="s">
        <v>53</v>
      </c>
      <c r="F27" t="s">
        <v>54</v>
      </c>
      <c r="G27" s="5"/>
    </row>
    <row r="28" spans="1:7" x14ac:dyDescent="0.25">
      <c r="A28" s="4"/>
      <c r="B28" s="9">
        <v>45463</v>
      </c>
      <c r="C28" s="8"/>
      <c r="D28" s="8"/>
      <c r="E28" s="10"/>
      <c r="G28" s="5"/>
    </row>
    <row r="29" spans="1:7" x14ac:dyDescent="0.25">
      <c r="A29" s="4"/>
      <c r="B29" s="9">
        <v>45463</v>
      </c>
      <c r="C29" s="8"/>
      <c r="D29" s="8"/>
      <c r="E29" s="10"/>
      <c r="G29" s="5"/>
    </row>
    <row r="30" spans="1:7" x14ac:dyDescent="0.25">
      <c r="A30" s="4"/>
      <c r="B30" s="9">
        <v>45463</v>
      </c>
      <c r="C30" s="8"/>
      <c r="D30" s="8"/>
      <c r="E30" s="10"/>
      <c r="G30" s="5"/>
    </row>
    <row r="31" spans="1:7" x14ac:dyDescent="0.25">
      <c r="A31" s="4"/>
      <c r="B31" s="9">
        <v>45468</v>
      </c>
      <c r="C31" s="8"/>
      <c r="D31" s="8"/>
      <c r="E31" s="10"/>
      <c r="G31" s="5"/>
    </row>
    <row r="32" spans="1:7" x14ac:dyDescent="0.25">
      <c r="A32" s="4"/>
      <c r="B32" s="9">
        <v>45463</v>
      </c>
      <c r="C32" s="8"/>
      <c r="D32" s="8"/>
      <c r="E32" s="10"/>
      <c r="G32" s="5"/>
    </row>
    <row r="33" spans="1:7" x14ac:dyDescent="0.25">
      <c r="A33" s="4"/>
      <c r="B33" s="9"/>
      <c r="C33" s="8" t="s">
        <v>71</v>
      </c>
      <c r="D33" s="8" t="s">
        <v>59</v>
      </c>
      <c r="E33" s="10">
        <f>SUM(GastosVariadosNãoEssenciais10190[[#All],[Valor]])</f>
        <v>0</v>
      </c>
      <c r="F33" t="str">
        <f>_xlfn.IFNA(VLOOKUP("Não",GastosVariadosNãoEssenciais10190[Pago?],1,FALSE),"Sim")</f>
        <v>Sim</v>
      </c>
      <c r="G33" s="5"/>
    </row>
    <row r="34" spans="1:7" x14ac:dyDescent="0.25">
      <c r="A34" s="4"/>
      <c r="B34" s="41"/>
      <c r="C34" s="41"/>
      <c r="D34" s="41"/>
      <c r="E34" s="41"/>
      <c r="F34" s="41"/>
      <c r="G34" s="5"/>
    </row>
    <row r="35" spans="1:7" x14ac:dyDescent="0.25">
      <c r="A35" s="2"/>
      <c r="B35" s="12"/>
      <c r="C35" s="42" t="s">
        <v>80</v>
      </c>
      <c r="D35" s="42"/>
      <c r="E35" s="42"/>
      <c r="F35" s="12"/>
      <c r="G35" s="3"/>
    </row>
    <row r="36" spans="1:7" x14ac:dyDescent="0.25">
      <c r="A36" s="4"/>
      <c r="B36" s="11"/>
      <c r="C36" t="s">
        <v>81</v>
      </c>
      <c r="D36" t="s">
        <v>84</v>
      </c>
      <c r="E36" t="s">
        <v>53</v>
      </c>
      <c r="F36" s="11"/>
      <c r="G36" s="5"/>
    </row>
    <row r="37" spans="1:7" x14ac:dyDescent="0.25">
      <c r="A37" s="4"/>
      <c r="B37" s="11"/>
      <c r="C37" s="15" t="s">
        <v>82</v>
      </c>
      <c r="D37" s="15"/>
      <c r="E37" s="15">
        <f>RendaTotal</f>
        <v>0</v>
      </c>
      <c r="F37" s="11"/>
      <c r="G37" s="5"/>
    </row>
    <row r="38" spans="1:7" x14ac:dyDescent="0.25">
      <c r="A38" s="4"/>
      <c r="B38" s="11"/>
      <c r="C38" s="16" t="s">
        <v>64</v>
      </c>
      <c r="D38" s="16"/>
      <c r="E38" s="16">
        <f>FixosTotais</f>
        <v>0</v>
      </c>
      <c r="F38" s="11"/>
      <c r="G38" s="5"/>
    </row>
    <row r="39" spans="1:7" x14ac:dyDescent="0.25">
      <c r="A39" s="4"/>
      <c r="B39" s="11"/>
      <c r="C39" s="16" t="s">
        <v>86</v>
      </c>
      <c r="D39" s="16"/>
      <c r="E39" s="16">
        <f>EssenciaisTotais</f>
        <v>0</v>
      </c>
      <c r="F39" s="11"/>
      <c r="G39" s="5"/>
    </row>
    <row r="40" spans="1:7" x14ac:dyDescent="0.25">
      <c r="A40" s="4"/>
      <c r="B40" s="11"/>
      <c r="C40" s="17" t="s">
        <v>87</v>
      </c>
      <c r="D40" s="17"/>
      <c r="E40" s="17">
        <f>NãoEssenciaisTotais</f>
        <v>0</v>
      </c>
      <c r="F40" s="11"/>
      <c r="G40" s="5"/>
    </row>
    <row r="41" spans="1:7" x14ac:dyDescent="0.25">
      <c r="A41" s="4"/>
      <c r="B41" s="11"/>
      <c r="C41" s="10" t="s">
        <v>83</v>
      </c>
      <c r="D41" s="10"/>
      <c r="E41" s="10">
        <f>E37-SUM(E38:E40)</f>
        <v>0</v>
      </c>
      <c r="F41" s="11"/>
      <c r="G41" s="5"/>
    </row>
    <row r="42" spans="1:7" x14ac:dyDescent="0.25">
      <c r="A42" s="6"/>
      <c r="B42" s="13"/>
      <c r="C42" s="13"/>
      <c r="D42" s="13"/>
      <c r="E42" s="13"/>
      <c r="F42" s="13"/>
      <c r="G42" s="7"/>
    </row>
  </sheetData>
  <dataConsolidate/>
  <mergeCells count="9">
    <mergeCell ref="B26:F26"/>
    <mergeCell ref="B34:F34"/>
    <mergeCell ref="C35:E35"/>
    <mergeCell ref="A1:G1"/>
    <mergeCell ref="C2:E2"/>
    <mergeCell ref="B9:F9"/>
    <mergeCell ref="B17:F17"/>
    <mergeCell ref="B18:F18"/>
    <mergeCell ref="B25:F25"/>
  </mergeCells>
  <conditionalFormatting sqref="E41">
    <cfRule type="cellIs" dxfId="408" priority="1" operator="lessThanOrEqual">
      <formula>0</formula>
    </cfRule>
    <cfRule type="cellIs" dxfId="407" priority="2" operator="between">
      <formula>100</formula>
      <formula>0</formula>
    </cfRule>
  </conditionalFormatting>
  <dataValidations count="2">
    <dataValidation type="list" allowBlank="1" showInputMessage="1" showErrorMessage="1" sqref="D11:D15 D20:D23 D28:D32" xr:uid="{0E0A0C5D-D31D-4E35-9C01-50B0976D5A93}">
      <formula1>Tipos</formula1>
    </dataValidation>
    <dataValidation type="date" allowBlank="1" showInputMessage="1" showErrorMessage="1" sqref="B11:B15 B20:B23 B28:B32 B4:B6" xr:uid="{026DF8CE-A3CE-4458-A67F-29581EFAAFF0}">
      <formula1>43831</formula1>
      <formula2>73415</formula2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OcultarGraficos">
                <anchor moveWithCells="1">
                  <from>
                    <xdr:col>14</xdr:col>
                    <xdr:colOff>9525</xdr:colOff>
                    <xdr:row>3</xdr:row>
                    <xdr:rowOff>180975</xdr:rowOff>
                  </from>
                  <to>
                    <xdr:col>20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ExibirGraficos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19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69FDA7EA-7A97-4274-8147-215C4D35C6E8}">
            <xm:f>NOT(ISERROR(SEARCH('Tipos de Gastos'!$K$1,D3)))</xm:f>
            <xm:f>'Tipos de Gastos'!$K$1</xm:f>
            <x14:dxf>
              <fill>
                <patternFill>
                  <bgColor rgb="FFDAADA6"/>
                </patternFill>
              </fill>
            </x14:dxf>
          </x14:cfRule>
          <x14:cfRule type="containsText" priority="6" operator="containsText" id="{A280861D-92EA-4A40-AC2E-E150DF8E6005}">
            <xm:f>NOT(ISERROR(SEARCH('Tipos de Gastos'!$J$1,D3)))</xm:f>
            <xm:f>'Tipos de Gastos'!$J$1</xm:f>
            <x14:dxf>
              <fill>
                <patternFill>
                  <bgColor rgb="FFB2B2B2"/>
                </patternFill>
              </fill>
            </x14:dxf>
          </x14:cfRule>
          <x14:cfRule type="containsText" priority="7" operator="containsText" id="{A7BCDCB4-590D-462D-AA6E-6B659782844E}">
            <xm:f>NOT(ISERROR(SEARCH('Tipos de Gastos'!$I$1,D3)))</xm:f>
            <xm:f>'Tipos de Gastos'!$I$1</xm:f>
            <x14:dxf>
              <fill>
                <patternFill>
                  <bgColor rgb="FF00FF99"/>
                </patternFill>
              </fill>
            </x14:dxf>
          </x14:cfRule>
          <x14:cfRule type="containsText" priority="8" operator="containsText" id="{7E3F17FF-B7C6-4BBB-9AF4-552FF2761926}">
            <xm:f>NOT(ISERROR(SEARCH('Tipos de Gastos'!$H$1,D3)))</xm:f>
            <xm:f>'Tipos de Gastos'!$H$1</xm:f>
            <x14:dxf>
              <fill>
                <patternFill>
                  <bgColor rgb="FFCC99FF"/>
                </patternFill>
              </fill>
            </x14:dxf>
          </x14:cfRule>
          <x14:cfRule type="containsText" priority="9" operator="containsText" id="{B7F536E5-B618-43DF-BBF2-76E6DB27D15E}">
            <xm:f>NOT(ISERROR(SEARCH('Tipos de Gastos'!$G$1,D3)))</xm:f>
            <xm:f>'Tipos de Gastos'!$G$1</xm:f>
            <x14:dxf>
              <fill>
                <patternFill>
                  <bgColor rgb="FF66FFCC"/>
                </patternFill>
              </fill>
            </x14:dxf>
          </x14:cfRule>
          <x14:cfRule type="containsText" priority="10" operator="containsText" id="{DC1CA455-CA80-4B1A-A8B6-250F23297F41}">
            <xm:f>NOT(ISERROR(SEARCH('Tipos de Gastos'!$F$1,D3)))</xm:f>
            <xm:f>'Tipos de Gastos'!$F$1</xm:f>
            <x14:dxf>
              <fill>
                <patternFill>
                  <bgColor rgb="FF66FF66"/>
                </patternFill>
              </fill>
            </x14:dxf>
          </x14:cfRule>
          <x14:cfRule type="containsText" priority="11" operator="containsText" id="{7C97BFF2-6A3A-43D5-8305-5BA755BA4D94}">
            <xm:f>NOT(ISERROR(SEARCH('Tipos de Gastos'!$E$1,D3)))</xm:f>
            <xm:f>'Tipos de Gastos'!$E$1</xm:f>
            <x14:dxf>
              <fill>
                <patternFill>
                  <bgColor rgb="FFCCFF33"/>
                </patternFill>
              </fill>
            </x14:dxf>
          </x14:cfRule>
          <x14:cfRule type="containsText" priority="12" operator="containsText" id="{6260D688-8ED8-461E-BBC7-46D6222A43BA}">
            <xm:f>NOT(ISERROR(SEARCH('Tipos de Gastos'!$D$1,D3)))</xm:f>
            <xm:f>'Tipos de Gastos'!$D$1</xm:f>
            <x14:dxf>
              <fill>
                <patternFill>
                  <bgColor rgb="FFFF7C80"/>
                </patternFill>
              </fill>
            </x14:dxf>
          </x14:cfRule>
          <x14:cfRule type="containsText" priority="13" operator="containsText" id="{2AD15179-C58E-4BEE-9C55-CC02A132E51C}">
            <xm:f>NOT(ISERROR(SEARCH('Tipos de Gastos'!$C$1,D3)))</xm:f>
            <xm:f>'Tipos de Gastos'!$C$1</xm:f>
            <x14:dxf>
              <fill>
                <patternFill>
                  <bgColor rgb="FFFFCC66"/>
                </patternFill>
              </fill>
            </x14:dxf>
          </x14:cfRule>
          <x14:cfRule type="containsText" priority="14" operator="containsText" id="{69FB6C32-1252-4153-BAC7-661C2AECC83E}">
            <xm:f>NOT(ISERROR(SEARCH('Tipos de Gastos'!$B$1,D3)))</xm:f>
            <xm:f>'Tipos de Gastos'!$B$1</xm:f>
            <x14:dxf>
              <fill>
                <patternFill>
                  <bgColor rgb="FFFFFF66"/>
                </patternFill>
              </fill>
            </x14:dxf>
          </x14:cfRule>
          <x14:cfRule type="containsText" priority="15" operator="containsText" id="{1297159E-ED5A-4D82-A6B5-EF169CB8CDC8}">
            <xm:f>NOT(ISERROR(SEARCH('Tipos de Gastos'!$A$1,D3)))</xm:f>
            <xm:f>'Tipos de Gastos'!$A$1</xm:f>
            <x14:dxf>
              <fill>
                <patternFill patternType="solid">
                  <bgColor rgb="FFCC99FF"/>
                </patternFill>
              </fill>
            </x14:dxf>
          </x14:cfRule>
          <xm:sqref>D3 D7:D34 E37:E41 D42:D1048576</xm:sqref>
        </x14:conditionalFormatting>
        <x14:conditionalFormatting xmlns:xm="http://schemas.microsoft.com/office/excel/2006/main">
          <x14:cfRule type="containsText" priority="3" operator="containsText" id="{7C6A0BD3-993C-46B9-962E-5A776B055E2D}">
            <xm:f>NOT(ISERROR(SEARCH('Variáveis de Seleção'!$A$2,B2)))</xm:f>
            <xm:f>'Variáveis de Seleção'!$A$2</xm:f>
            <x14:dxf>
              <font>
                <u val="double"/>
              </font>
              <fill>
                <patternFill>
                  <bgColor rgb="FF92D050"/>
                </patternFill>
              </fill>
            </x14:dxf>
          </x14:cfRule>
          <xm:sqref>E36:E41 C2 F2 B3:F3 B4:C6 E4:F6 B7:F34 B35:C41 F35:F41 B42:F1048576</xm:sqref>
        </x14:conditionalFormatting>
        <x14:conditionalFormatting xmlns:xm="http://schemas.microsoft.com/office/excel/2006/main">
          <x14:cfRule type="containsText" priority="4" operator="containsText" id="{E31021EA-60A0-4C4C-8FA0-D77ED7D0E1BD}">
            <xm:f>NOT(ISERROR(SEARCH('Variáveis de Seleção'!$A$3,F2)))</xm:f>
            <xm:f>'Variáveis de Seleção'!$A$3</xm:f>
            <x14:dxf>
              <font>
                <b val="0"/>
                <i val="0"/>
                <u val="double"/>
                <color auto="1"/>
              </font>
              <fill>
                <patternFill patternType="solid">
                  <bgColor rgb="FFFFFF00"/>
                </patternFill>
              </fill>
            </x14:dxf>
          </x14:cfRule>
          <xm:sqref>F2:F1048576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0B904D9-86C0-4B33-9948-BB28BCA36829}">
          <x14:formula1>
            <xm:f>'Variáveis de Seleção'!$A$2:$A$3</xm:f>
          </x14:formula1>
          <xm:sqref>F11:F15 F20:F23 F28:F32 F4:F6</xm:sqref>
        </x14:dataValidation>
        <x14:dataValidation type="list" allowBlank="1" showInputMessage="1" showErrorMessage="1" xr:uid="{E64D0F1E-0F1F-4C2E-90E6-7AC06464E96E}">
          <x14:formula1>
            <xm:f>'Variáveis de Seleção'!$B$2:$B$4</xm:f>
          </x14:formula1>
          <xm:sqref>D4:D6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E45D4-EA64-4924-94BF-00A6C14867D9}">
  <sheetPr codeName="Planilha7"/>
  <dimension ref="A1:G42"/>
  <sheetViews>
    <sheetView showGridLines="0" zoomScaleNormal="100" workbookViewId="0">
      <selection activeCell="E12" sqref="E12"/>
    </sheetView>
  </sheetViews>
  <sheetFormatPr defaultRowHeight="15" x14ac:dyDescent="0.25"/>
  <cols>
    <col min="1" max="1" width="3.5703125" customWidth="1"/>
    <col min="2" max="2" width="10.7109375" customWidth="1"/>
    <col min="3" max="3" width="22.140625" customWidth="1"/>
    <col min="4" max="4" width="20.28515625" customWidth="1"/>
    <col min="5" max="5" width="12.140625" bestFit="1" customWidth="1"/>
    <col min="7" max="7" width="3.5703125" customWidth="1"/>
  </cols>
  <sheetData>
    <row r="1" spans="1:7" x14ac:dyDescent="0.25">
      <c r="A1" s="45" t="s">
        <v>97</v>
      </c>
      <c r="B1" s="45"/>
      <c r="C1" s="45"/>
      <c r="D1" s="45"/>
      <c r="E1" s="45"/>
      <c r="F1" s="45"/>
      <c r="G1" s="45"/>
    </row>
    <row r="2" spans="1:7" x14ac:dyDescent="0.25">
      <c r="A2" s="2"/>
      <c r="B2" s="11"/>
      <c r="C2" s="42" t="s">
        <v>72</v>
      </c>
      <c r="D2" s="42"/>
      <c r="E2" s="42"/>
      <c r="F2" s="12"/>
      <c r="G2" s="3"/>
    </row>
    <row r="3" spans="1:7" x14ac:dyDescent="0.25">
      <c r="A3" s="4"/>
      <c r="B3" s="11"/>
      <c r="C3" t="s">
        <v>51</v>
      </c>
      <c r="D3" t="s">
        <v>52</v>
      </c>
      <c r="E3" t="s">
        <v>53</v>
      </c>
      <c r="F3" s="11"/>
      <c r="G3" s="5"/>
    </row>
    <row r="4" spans="1:7" x14ac:dyDescent="0.25">
      <c r="A4" s="4"/>
      <c r="B4" s="14"/>
      <c r="C4" s="8" t="s">
        <v>76</v>
      </c>
      <c r="D4" s="8" t="s">
        <v>79</v>
      </c>
      <c r="E4" s="10"/>
      <c r="F4" s="11"/>
      <c r="G4" s="5"/>
    </row>
    <row r="5" spans="1:7" x14ac:dyDescent="0.25">
      <c r="A5" s="4"/>
      <c r="B5" s="14"/>
      <c r="C5" s="8" t="s">
        <v>77</v>
      </c>
      <c r="D5" s="8" t="s">
        <v>74</v>
      </c>
      <c r="E5" s="10"/>
      <c r="F5" s="11"/>
      <c r="G5" s="5"/>
    </row>
    <row r="6" spans="1:7" x14ac:dyDescent="0.25">
      <c r="A6" s="4"/>
      <c r="B6" s="14"/>
      <c r="C6" s="8" t="s">
        <v>78</v>
      </c>
      <c r="D6" s="8" t="s">
        <v>75</v>
      </c>
      <c r="E6" s="10"/>
      <c r="F6" s="11"/>
      <c r="G6" s="5"/>
    </row>
    <row r="7" spans="1:7" x14ac:dyDescent="0.25">
      <c r="A7" s="4"/>
      <c r="B7" s="14"/>
      <c r="C7" s="8"/>
      <c r="D7" s="8" t="s">
        <v>59</v>
      </c>
      <c r="E7" s="10">
        <f>SUM(Entrada11191196[Valor])</f>
        <v>0</v>
      </c>
      <c r="F7" s="11"/>
      <c r="G7" s="5"/>
    </row>
    <row r="8" spans="1:7" x14ac:dyDescent="0.25">
      <c r="A8" s="6"/>
      <c r="B8" s="13"/>
      <c r="C8" s="13"/>
      <c r="D8" s="13"/>
      <c r="E8" s="13"/>
      <c r="F8" s="13"/>
      <c r="G8" s="7"/>
    </row>
    <row r="9" spans="1:7" ht="18.75" customHeight="1" x14ac:dyDescent="0.25">
      <c r="A9" s="2"/>
      <c r="B9" s="42" t="s">
        <v>49</v>
      </c>
      <c r="C9" s="42"/>
      <c r="D9" s="42"/>
      <c r="E9" s="42"/>
      <c r="F9" s="42"/>
      <c r="G9" s="3"/>
    </row>
    <row r="10" spans="1:7" x14ac:dyDescent="0.25">
      <c r="A10" s="4"/>
      <c r="B10" t="s">
        <v>50</v>
      </c>
      <c r="C10" t="s">
        <v>51</v>
      </c>
      <c r="D10" t="s">
        <v>52</v>
      </c>
      <c r="E10" t="s">
        <v>53</v>
      </c>
      <c r="F10" t="s">
        <v>54</v>
      </c>
      <c r="G10" s="5"/>
    </row>
    <row r="11" spans="1:7" x14ac:dyDescent="0.25">
      <c r="A11" s="4"/>
      <c r="B11" s="9">
        <v>45453</v>
      </c>
      <c r="C11" s="8"/>
      <c r="D11" s="8"/>
      <c r="E11" s="10"/>
      <c r="G11" s="5"/>
    </row>
    <row r="12" spans="1:7" x14ac:dyDescent="0.25">
      <c r="A12" s="4"/>
      <c r="B12" s="9">
        <v>45453</v>
      </c>
      <c r="C12" s="8"/>
      <c r="D12" s="8"/>
      <c r="E12" s="10"/>
      <c r="G12" s="5"/>
    </row>
    <row r="13" spans="1:7" x14ac:dyDescent="0.25">
      <c r="A13" s="4"/>
      <c r="B13" s="9">
        <v>45458</v>
      </c>
      <c r="C13" s="8"/>
      <c r="D13" s="8"/>
      <c r="E13" s="10"/>
      <c r="G13" s="5"/>
    </row>
    <row r="14" spans="1:7" x14ac:dyDescent="0.25">
      <c r="A14" s="4"/>
      <c r="B14" s="9">
        <v>45463</v>
      </c>
      <c r="C14" s="8"/>
      <c r="D14" s="8"/>
      <c r="E14" s="10"/>
      <c r="G14" s="5"/>
    </row>
    <row r="15" spans="1:7" x14ac:dyDescent="0.25">
      <c r="A15" s="4"/>
      <c r="B15" s="9">
        <v>45451</v>
      </c>
      <c r="C15" s="8"/>
      <c r="D15" s="8"/>
      <c r="E15" s="10"/>
      <c r="G15" s="5"/>
    </row>
    <row r="16" spans="1:7" ht="18.75" customHeight="1" x14ac:dyDescent="0.25">
      <c r="A16" s="4"/>
      <c r="B16" s="9"/>
      <c r="C16" s="8" t="s">
        <v>64</v>
      </c>
      <c r="D16" s="8" t="s">
        <v>59</v>
      </c>
      <c r="E16" s="10">
        <f>SUM(GastosFixos7188193[[#All],[Valor]])</f>
        <v>0</v>
      </c>
      <c r="F16" t="str">
        <f>_xlfn.IFNA(VLOOKUP("Não",GastosFixos7188193[Pago?],1,FALSE),"Sim")</f>
        <v>Sim</v>
      </c>
      <c r="G16" s="5"/>
    </row>
    <row r="17" spans="1:7" ht="18.75" customHeight="1" x14ac:dyDescent="0.25">
      <c r="A17" s="6"/>
      <c r="B17" s="44"/>
      <c r="C17" s="44"/>
      <c r="D17" s="44"/>
      <c r="E17" s="44"/>
      <c r="F17" s="44"/>
      <c r="G17" s="7"/>
    </row>
    <row r="18" spans="1:7" ht="18.75" customHeight="1" x14ac:dyDescent="0.25">
      <c r="A18" s="2"/>
      <c r="B18" s="42" t="s">
        <v>63</v>
      </c>
      <c r="C18" s="42"/>
      <c r="D18" s="42"/>
      <c r="E18" s="42"/>
      <c r="F18" s="42"/>
      <c r="G18" s="3"/>
    </row>
    <row r="19" spans="1:7" x14ac:dyDescent="0.25">
      <c r="A19" s="4"/>
      <c r="B19" t="s">
        <v>50</v>
      </c>
      <c r="C19" t="s">
        <v>51</v>
      </c>
      <c r="D19" t="s">
        <v>52</v>
      </c>
      <c r="E19" t="s">
        <v>53</v>
      </c>
      <c r="F19" t="s">
        <v>54</v>
      </c>
      <c r="G19" s="5"/>
    </row>
    <row r="20" spans="1:7" x14ac:dyDescent="0.25">
      <c r="A20" s="4"/>
      <c r="B20" s="9">
        <f t="shared" ref="B20" ca="1" si="0">TODAY()</f>
        <v>45475</v>
      </c>
      <c r="C20" s="8"/>
      <c r="D20" s="8"/>
      <c r="E20" s="10"/>
      <c r="G20" s="5"/>
    </row>
    <row r="21" spans="1:7" x14ac:dyDescent="0.25">
      <c r="A21" s="4"/>
      <c r="B21" s="9">
        <f ca="1">TODAY()</f>
        <v>45475</v>
      </c>
      <c r="C21" s="8"/>
      <c r="D21" s="8"/>
      <c r="E21" s="10"/>
      <c r="G21" s="5"/>
    </row>
    <row r="22" spans="1:7" x14ac:dyDescent="0.25">
      <c r="A22" s="4"/>
      <c r="B22" s="9">
        <f t="shared" ref="B22:B23" ca="1" si="1">TODAY()</f>
        <v>45475</v>
      </c>
      <c r="C22" s="8"/>
      <c r="D22" s="8"/>
      <c r="E22" s="10"/>
      <c r="G22" s="5"/>
    </row>
    <row r="23" spans="1:7" x14ac:dyDescent="0.25">
      <c r="A23" s="4"/>
      <c r="B23" s="9">
        <f t="shared" ca="1" si="1"/>
        <v>45475</v>
      </c>
      <c r="C23" s="8"/>
      <c r="D23" s="8"/>
      <c r="E23" s="10"/>
      <c r="G23" s="5"/>
    </row>
    <row r="24" spans="1:7" x14ac:dyDescent="0.25">
      <c r="A24" s="4"/>
      <c r="B24" s="9"/>
      <c r="C24" s="8" t="s">
        <v>65</v>
      </c>
      <c r="D24" s="8" t="s">
        <v>59</v>
      </c>
      <c r="E24" s="10">
        <f>SUM(GastosVariadosEssenciais9189194[[#All],[Valor]])</f>
        <v>0</v>
      </c>
      <c r="F24" t="str">
        <f>_xlfn.IFNA(VLOOKUP("Não",GastosVariadosEssenciais9189194[Pago?],1,FALSE),"Sim")</f>
        <v>Sim</v>
      </c>
      <c r="G24" s="5"/>
    </row>
    <row r="25" spans="1:7" x14ac:dyDescent="0.25">
      <c r="A25" s="6"/>
      <c r="B25" s="44"/>
      <c r="C25" s="44"/>
      <c r="D25" s="44"/>
      <c r="E25" s="44"/>
      <c r="F25" s="44"/>
      <c r="G25" s="7"/>
    </row>
    <row r="26" spans="1:7" x14ac:dyDescent="0.25">
      <c r="A26" s="2"/>
      <c r="B26" s="42" t="s">
        <v>67</v>
      </c>
      <c r="C26" s="42"/>
      <c r="D26" s="42"/>
      <c r="E26" s="42"/>
      <c r="F26" s="42"/>
      <c r="G26" s="3"/>
    </row>
    <row r="27" spans="1:7" x14ac:dyDescent="0.25">
      <c r="A27" s="4"/>
      <c r="B27" t="s">
        <v>50</v>
      </c>
      <c r="C27" t="s">
        <v>51</v>
      </c>
      <c r="D27" t="s">
        <v>52</v>
      </c>
      <c r="E27" t="s">
        <v>53</v>
      </c>
      <c r="F27" t="s">
        <v>54</v>
      </c>
      <c r="G27" s="5"/>
    </row>
    <row r="28" spans="1:7" x14ac:dyDescent="0.25">
      <c r="A28" s="4"/>
      <c r="B28" s="9">
        <v>45463</v>
      </c>
      <c r="C28" s="8"/>
      <c r="D28" s="8"/>
      <c r="E28" s="10"/>
      <c r="G28" s="5"/>
    </row>
    <row r="29" spans="1:7" x14ac:dyDescent="0.25">
      <c r="A29" s="4"/>
      <c r="B29" s="9">
        <v>45463</v>
      </c>
      <c r="C29" s="8"/>
      <c r="D29" s="8"/>
      <c r="E29" s="10"/>
      <c r="G29" s="5"/>
    </row>
    <row r="30" spans="1:7" x14ac:dyDescent="0.25">
      <c r="A30" s="4"/>
      <c r="B30" s="9">
        <v>45463</v>
      </c>
      <c r="C30" s="8"/>
      <c r="D30" s="8"/>
      <c r="E30" s="10"/>
      <c r="G30" s="5"/>
    </row>
    <row r="31" spans="1:7" x14ac:dyDescent="0.25">
      <c r="A31" s="4"/>
      <c r="B31" s="9">
        <v>45468</v>
      </c>
      <c r="C31" s="8"/>
      <c r="D31" s="8"/>
      <c r="E31" s="10"/>
      <c r="G31" s="5"/>
    </row>
    <row r="32" spans="1:7" x14ac:dyDescent="0.25">
      <c r="A32" s="4"/>
      <c r="B32" s="9">
        <v>45463</v>
      </c>
      <c r="C32" s="8"/>
      <c r="D32" s="8"/>
      <c r="E32" s="10"/>
      <c r="G32" s="5"/>
    </row>
    <row r="33" spans="1:7" x14ac:dyDescent="0.25">
      <c r="A33" s="4"/>
      <c r="B33" s="9"/>
      <c r="C33" s="8" t="s">
        <v>71</v>
      </c>
      <c r="D33" s="8" t="s">
        <v>59</v>
      </c>
      <c r="E33" s="10">
        <f>SUM(GastosVariadosNãoEssenciais10190195[[#All],[Valor]])</f>
        <v>0</v>
      </c>
      <c r="F33" t="str">
        <f>_xlfn.IFNA(VLOOKUP("Não",GastosVariadosNãoEssenciais10190195[Pago?],1,FALSE),"Sim")</f>
        <v>Sim</v>
      </c>
      <c r="G33" s="5"/>
    </row>
    <row r="34" spans="1:7" x14ac:dyDescent="0.25">
      <c r="A34" s="4"/>
      <c r="B34" s="41"/>
      <c r="C34" s="41"/>
      <c r="D34" s="41"/>
      <c r="E34" s="41"/>
      <c r="F34" s="41"/>
      <c r="G34" s="5"/>
    </row>
    <row r="35" spans="1:7" x14ac:dyDescent="0.25">
      <c r="A35" s="2"/>
      <c r="B35" s="12"/>
      <c r="C35" s="42" t="s">
        <v>80</v>
      </c>
      <c r="D35" s="42"/>
      <c r="E35" s="42"/>
      <c r="F35" s="12"/>
      <c r="G35" s="3"/>
    </row>
    <row r="36" spans="1:7" x14ac:dyDescent="0.25">
      <c r="A36" s="4"/>
      <c r="B36" s="11"/>
      <c r="C36" t="s">
        <v>81</v>
      </c>
      <c r="D36" t="s">
        <v>84</v>
      </c>
      <c r="E36" t="s">
        <v>53</v>
      </c>
      <c r="F36" s="11"/>
      <c r="G36" s="5"/>
    </row>
    <row r="37" spans="1:7" x14ac:dyDescent="0.25">
      <c r="A37" s="4"/>
      <c r="B37" s="11"/>
      <c r="C37" s="15" t="s">
        <v>82</v>
      </c>
      <c r="D37" s="15"/>
      <c r="E37" s="15">
        <f>RendaTotal</f>
        <v>0</v>
      </c>
      <c r="F37" s="11"/>
      <c r="G37" s="5"/>
    </row>
    <row r="38" spans="1:7" x14ac:dyDescent="0.25">
      <c r="A38" s="4"/>
      <c r="B38" s="11"/>
      <c r="C38" s="16" t="s">
        <v>64</v>
      </c>
      <c r="D38" s="16"/>
      <c r="E38" s="16">
        <f>FixosTotais</f>
        <v>0</v>
      </c>
      <c r="F38" s="11"/>
      <c r="G38" s="5"/>
    </row>
    <row r="39" spans="1:7" x14ac:dyDescent="0.25">
      <c r="A39" s="4"/>
      <c r="B39" s="11"/>
      <c r="C39" s="16" t="s">
        <v>86</v>
      </c>
      <c r="D39" s="16"/>
      <c r="E39" s="16">
        <f>EssenciaisTotais</f>
        <v>0</v>
      </c>
      <c r="F39" s="11"/>
      <c r="G39" s="5"/>
    </row>
    <row r="40" spans="1:7" x14ac:dyDescent="0.25">
      <c r="A40" s="4"/>
      <c r="B40" s="11"/>
      <c r="C40" s="17" t="s">
        <v>87</v>
      </c>
      <c r="D40" s="17"/>
      <c r="E40" s="17">
        <f>NãoEssenciaisTotais</f>
        <v>0</v>
      </c>
      <c r="F40" s="11"/>
      <c r="G40" s="5"/>
    </row>
    <row r="41" spans="1:7" x14ac:dyDescent="0.25">
      <c r="A41" s="4"/>
      <c r="B41" s="11"/>
      <c r="C41" s="10" t="s">
        <v>83</v>
      </c>
      <c r="D41" s="10"/>
      <c r="E41" s="10">
        <f>E37-SUM(E38:E40)</f>
        <v>0</v>
      </c>
      <c r="F41" s="11"/>
      <c r="G41" s="5"/>
    </row>
    <row r="42" spans="1:7" x14ac:dyDescent="0.25">
      <c r="A42" s="6"/>
      <c r="B42" s="13"/>
      <c r="C42" s="13"/>
      <c r="D42" s="13"/>
      <c r="E42" s="13"/>
      <c r="F42" s="13"/>
      <c r="G42" s="7"/>
    </row>
  </sheetData>
  <dataConsolidate/>
  <mergeCells count="9">
    <mergeCell ref="B26:F26"/>
    <mergeCell ref="B34:F34"/>
    <mergeCell ref="C35:E35"/>
    <mergeCell ref="A1:G1"/>
    <mergeCell ref="C2:E2"/>
    <mergeCell ref="B9:F9"/>
    <mergeCell ref="B17:F17"/>
    <mergeCell ref="B18:F18"/>
    <mergeCell ref="B25:F25"/>
  </mergeCells>
  <conditionalFormatting sqref="E41">
    <cfRule type="cellIs" dxfId="372" priority="1" operator="lessThanOrEqual">
      <formula>0</formula>
    </cfRule>
    <cfRule type="cellIs" dxfId="371" priority="2" operator="between">
      <formula>100</formula>
      <formula>0</formula>
    </cfRule>
  </conditionalFormatting>
  <dataValidations count="2">
    <dataValidation type="date" allowBlank="1" showInputMessage="1" showErrorMessage="1" sqref="B11:B15 B20:B23 B28:B32 B4:B6" xr:uid="{87C98D17-3EB6-4A7F-A5C7-4CB94ACB4D0C}">
      <formula1>43831</formula1>
      <formula2>73415</formula2>
    </dataValidation>
    <dataValidation type="list" allowBlank="1" showInputMessage="1" showErrorMessage="1" sqref="D11:D15 D20:D23 D28:D32" xr:uid="{E0598214-610C-4053-9405-8753E323AB08}">
      <formula1>Tipos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OcultarGraficos">
                <anchor moveWithCells="1">
                  <from>
                    <xdr:col>14</xdr:col>
                    <xdr:colOff>9525</xdr:colOff>
                    <xdr:row>3</xdr:row>
                    <xdr:rowOff>180975</xdr:rowOff>
                  </from>
                  <to>
                    <xdr:col>20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ExibirGraficos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19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079AFA53-C8E1-42EF-9229-6C1B198F3E3D}">
            <xm:f>NOT(ISERROR(SEARCH('Tipos de Gastos'!$K$1,D3)))</xm:f>
            <xm:f>'Tipos de Gastos'!$K$1</xm:f>
            <x14:dxf>
              <fill>
                <patternFill>
                  <bgColor rgb="FFDAADA6"/>
                </patternFill>
              </fill>
            </x14:dxf>
          </x14:cfRule>
          <x14:cfRule type="containsText" priority="6" operator="containsText" id="{C40BF9CC-BA1E-4593-BC88-0473F2CB172F}">
            <xm:f>NOT(ISERROR(SEARCH('Tipos de Gastos'!$J$1,D3)))</xm:f>
            <xm:f>'Tipos de Gastos'!$J$1</xm:f>
            <x14:dxf>
              <fill>
                <patternFill>
                  <bgColor rgb="FFB2B2B2"/>
                </patternFill>
              </fill>
            </x14:dxf>
          </x14:cfRule>
          <x14:cfRule type="containsText" priority="7" operator="containsText" id="{22DB32E1-51D0-4F95-9667-3BFC2C9D5ED0}">
            <xm:f>NOT(ISERROR(SEARCH('Tipos de Gastos'!$I$1,D3)))</xm:f>
            <xm:f>'Tipos de Gastos'!$I$1</xm:f>
            <x14:dxf>
              <fill>
                <patternFill>
                  <bgColor rgb="FF00FF99"/>
                </patternFill>
              </fill>
            </x14:dxf>
          </x14:cfRule>
          <x14:cfRule type="containsText" priority="8" operator="containsText" id="{E988228D-CBBC-40B3-B891-172DF24B1835}">
            <xm:f>NOT(ISERROR(SEARCH('Tipos de Gastos'!$H$1,D3)))</xm:f>
            <xm:f>'Tipos de Gastos'!$H$1</xm:f>
            <x14:dxf>
              <fill>
                <patternFill>
                  <bgColor rgb="FFCC99FF"/>
                </patternFill>
              </fill>
            </x14:dxf>
          </x14:cfRule>
          <x14:cfRule type="containsText" priority="9" operator="containsText" id="{1206DE68-57CA-42D8-B887-1DD6347AEF07}">
            <xm:f>NOT(ISERROR(SEARCH('Tipos de Gastos'!$G$1,D3)))</xm:f>
            <xm:f>'Tipos de Gastos'!$G$1</xm:f>
            <x14:dxf>
              <fill>
                <patternFill>
                  <bgColor rgb="FF66FFCC"/>
                </patternFill>
              </fill>
            </x14:dxf>
          </x14:cfRule>
          <x14:cfRule type="containsText" priority="10" operator="containsText" id="{5C13B708-2169-4B65-8A7F-A72108F00C4A}">
            <xm:f>NOT(ISERROR(SEARCH('Tipos de Gastos'!$F$1,D3)))</xm:f>
            <xm:f>'Tipos de Gastos'!$F$1</xm:f>
            <x14:dxf>
              <fill>
                <patternFill>
                  <bgColor rgb="FF66FF66"/>
                </patternFill>
              </fill>
            </x14:dxf>
          </x14:cfRule>
          <x14:cfRule type="containsText" priority="11" operator="containsText" id="{3885912D-6881-41FF-8328-53C6D5B227F4}">
            <xm:f>NOT(ISERROR(SEARCH('Tipos de Gastos'!$E$1,D3)))</xm:f>
            <xm:f>'Tipos de Gastos'!$E$1</xm:f>
            <x14:dxf>
              <fill>
                <patternFill>
                  <bgColor rgb="FFCCFF33"/>
                </patternFill>
              </fill>
            </x14:dxf>
          </x14:cfRule>
          <x14:cfRule type="containsText" priority="12" operator="containsText" id="{1738D285-4424-409B-AFC7-956740471DF0}">
            <xm:f>NOT(ISERROR(SEARCH('Tipos de Gastos'!$D$1,D3)))</xm:f>
            <xm:f>'Tipos de Gastos'!$D$1</xm:f>
            <x14:dxf>
              <fill>
                <patternFill>
                  <bgColor rgb="FFFF7C80"/>
                </patternFill>
              </fill>
            </x14:dxf>
          </x14:cfRule>
          <x14:cfRule type="containsText" priority="13" operator="containsText" id="{8154F411-E437-4F7F-BD75-BF75F7BA44D9}">
            <xm:f>NOT(ISERROR(SEARCH('Tipos de Gastos'!$C$1,D3)))</xm:f>
            <xm:f>'Tipos de Gastos'!$C$1</xm:f>
            <x14:dxf>
              <fill>
                <patternFill>
                  <bgColor rgb="FFFFCC66"/>
                </patternFill>
              </fill>
            </x14:dxf>
          </x14:cfRule>
          <x14:cfRule type="containsText" priority="14" operator="containsText" id="{B4C80179-4F2A-479A-BF05-2607A26C459C}">
            <xm:f>NOT(ISERROR(SEARCH('Tipos de Gastos'!$B$1,D3)))</xm:f>
            <xm:f>'Tipos de Gastos'!$B$1</xm:f>
            <x14:dxf>
              <fill>
                <patternFill>
                  <bgColor rgb="FFFFFF66"/>
                </patternFill>
              </fill>
            </x14:dxf>
          </x14:cfRule>
          <x14:cfRule type="containsText" priority="15" operator="containsText" id="{958D3DD0-47C5-4F3E-8140-E1FE48FCC18B}">
            <xm:f>NOT(ISERROR(SEARCH('Tipos de Gastos'!$A$1,D3)))</xm:f>
            <xm:f>'Tipos de Gastos'!$A$1</xm:f>
            <x14:dxf>
              <fill>
                <patternFill patternType="solid">
                  <bgColor rgb="FFCC99FF"/>
                </patternFill>
              </fill>
            </x14:dxf>
          </x14:cfRule>
          <xm:sqref>D3 D7:D34 E37:E41 D42:D1048576</xm:sqref>
        </x14:conditionalFormatting>
        <x14:conditionalFormatting xmlns:xm="http://schemas.microsoft.com/office/excel/2006/main">
          <x14:cfRule type="containsText" priority="3" operator="containsText" id="{223FA9A0-A8AA-4DD5-800C-CE28ECF505A2}">
            <xm:f>NOT(ISERROR(SEARCH('Variáveis de Seleção'!$A$2,B2)))</xm:f>
            <xm:f>'Variáveis de Seleção'!$A$2</xm:f>
            <x14:dxf>
              <font>
                <u val="double"/>
              </font>
              <fill>
                <patternFill>
                  <bgColor rgb="FF92D050"/>
                </patternFill>
              </fill>
            </x14:dxf>
          </x14:cfRule>
          <xm:sqref>E36:E41 C2 F2 B3:F3 B4:C6 E4:F6 B7:F34 B35:C41 F35:F41 B42:F1048576</xm:sqref>
        </x14:conditionalFormatting>
        <x14:conditionalFormatting xmlns:xm="http://schemas.microsoft.com/office/excel/2006/main">
          <x14:cfRule type="containsText" priority="4" operator="containsText" id="{6A8D0B83-853E-4A2E-907C-9703FFE58892}">
            <xm:f>NOT(ISERROR(SEARCH('Variáveis de Seleção'!$A$3,F2)))</xm:f>
            <xm:f>'Variáveis de Seleção'!$A$3</xm:f>
            <x14:dxf>
              <font>
                <b val="0"/>
                <i val="0"/>
                <u val="double"/>
                <color auto="1"/>
              </font>
              <fill>
                <patternFill patternType="solid">
                  <bgColor rgb="FFFFFF00"/>
                </patternFill>
              </fill>
            </x14:dxf>
          </x14:cfRule>
          <xm:sqref>F2:F1048576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A79ED8C-4DA4-4670-B540-0B03966ED0A9}">
          <x14:formula1>
            <xm:f>'Variáveis de Seleção'!$B$2:$B$4</xm:f>
          </x14:formula1>
          <xm:sqref>D4:D6</xm:sqref>
        </x14:dataValidation>
        <x14:dataValidation type="list" allowBlank="1" showInputMessage="1" showErrorMessage="1" xr:uid="{08725833-DD8A-43A5-8A24-6115AB2BC4CB}">
          <x14:formula1>
            <xm:f>'Variáveis de Seleção'!$A$2:$A$3</xm:f>
          </x14:formula1>
          <xm:sqref>F11:F15 F20:F23 F28:F32 F4:F6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5E83C-F055-4FF2-870A-EBC41101F33F}">
  <sheetPr codeName="Planilha8"/>
  <dimension ref="A1:G42"/>
  <sheetViews>
    <sheetView showGridLines="0" topLeftCell="A7" zoomScaleNormal="100" workbookViewId="0">
      <selection activeCell="E12" sqref="E12"/>
    </sheetView>
  </sheetViews>
  <sheetFormatPr defaultRowHeight="15" x14ac:dyDescent="0.25"/>
  <cols>
    <col min="1" max="1" width="3.5703125" customWidth="1"/>
    <col min="2" max="2" width="10.7109375" customWidth="1"/>
    <col min="3" max="3" width="22.140625" customWidth="1"/>
    <col min="4" max="4" width="20.28515625" customWidth="1"/>
    <col min="5" max="5" width="12.140625" bestFit="1" customWidth="1"/>
    <col min="7" max="7" width="3.5703125" customWidth="1"/>
  </cols>
  <sheetData>
    <row r="1" spans="1:7" x14ac:dyDescent="0.25">
      <c r="A1" s="45" t="s">
        <v>96</v>
      </c>
      <c r="B1" s="45"/>
      <c r="C1" s="45"/>
      <c r="D1" s="45"/>
      <c r="E1" s="45"/>
      <c r="F1" s="45"/>
      <c r="G1" s="45"/>
    </row>
    <row r="2" spans="1:7" x14ac:dyDescent="0.25">
      <c r="A2" s="2"/>
      <c r="B2" s="11"/>
      <c r="C2" s="42" t="s">
        <v>72</v>
      </c>
      <c r="D2" s="42"/>
      <c r="E2" s="42"/>
      <c r="F2" s="12"/>
      <c r="G2" s="3"/>
    </row>
    <row r="3" spans="1:7" x14ac:dyDescent="0.25">
      <c r="A3" s="4"/>
      <c r="B3" s="11"/>
      <c r="C3" t="s">
        <v>51</v>
      </c>
      <c r="D3" t="s">
        <v>52</v>
      </c>
      <c r="E3" t="s">
        <v>53</v>
      </c>
      <c r="F3" s="11"/>
      <c r="G3" s="5"/>
    </row>
    <row r="4" spans="1:7" x14ac:dyDescent="0.25">
      <c r="A4" s="4"/>
      <c r="B4" s="14"/>
      <c r="C4" s="8" t="s">
        <v>76</v>
      </c>
      <c r="D4" s="8" t="s">
        <v>79</v>
      </c>
      <c r="E4" s="10"/>
      <c r="F4" s="11"/>
      <c r="G4" s="5"/>
    </row>
    <row r="5" spans="1:7" x14ac:dyDescent="0.25">
      <c r="A5" s="4"/>
      <c r="B5" s="14"/>
      <c r="C5" s="8" t="s">
        <v>77</v>
      </c>
      <c r="D5" s="8" t="s">
        <v>74</v>
      </c>
      <c r="E5" s="10"/>
      <c r="F5" s="11"/>
      <c r="G5" s="5"/>
    </row>
    <row r="6" spans="1:7" x14ac:dyDescent="0.25">
      <c r="A6" s="4"/>
      <c r="B6" s="14"/>
      <c r="C6" s="8" t="s">
        <v>78</v>
      </c>
      <c r="D6" s="8" t="s">
        <v>75</v>
      </c>
      <c r="E6" s="10"/>
      <c r="F6" s="11"/>
      <c r="G6" s="5"/>
    </row>
    <row r="7" spans="1:7" x14ac:dyDescent="0.25">
      <c r="A7" s="4"/>
      <c r="B7" s="14"/>
      <c r="C7" s="8"/>
      <c r="D7" s="8" t="s">
        <v>59</v>
      </c>
      <c r="E7" s="10">
        <f>SUM(Entrada11191196201[Valor])</f>
        <v>0</v>
      </c>
      <c r="F7" s="11"/>
      <c r="G7" s="5"/>
    </row>
    <row r="8" spans="1:7" x14ac:dyDescent="0.25">
      <c r="A8" s="6"/>
      <c r="B8" s="13"/>
      <c r="C8" s="13"/>
      <c r="D8" s="13"/>
      <c r="E8" s="13"/>
      <c r="F8" s="13"/>
      <c r="G8" s="7"/>
    </row>
    <row r="9" spans="1:7" ht="18.75" customHeight="1" x14ac:dyDescent="0.25">
      <c r="A9" s="2"/>
      <c r="B9" s="42" t="s">
        <v>49</v>
      </c>
      <c r="C9" s="42"/>
      <c r="D9" s="42"/>
      <c r="E9" s="42"/>
      <c r="F9" s="42"/>
      <c r="G9" s="3"/>
    </row>
    <row r="10" spans="1:7" x14ac:dyDescent="0.25">
      <c r="A10" s="4"/>
      <c r="B10" t="s">
        <v>50</v>
      </c>
      <c r="C10" t="s">
        <v>51</v>
      </c>
      <c r="D10" t="s">
        <v>52</v>
      </c>
      <c r="E10" t="s">
        <v>53</v>
      </c>
      <c r="F10" t="s">
        <v>54</v>
      </c>
      <c r="G10" s="5"/>
    </row>
    <row r="11" spans="1:7" x14ac:dyDescent="0.25">
      <c r="A11" s="4"/>
      <c r="B11" s="9">
        <v>45453</v>
      </c>
      <c r="C11" s="8"/>
      <c r="D11" s="8"/>
      <c r="E11" s="10"/>
      <c r="G11" s="5"/>
    </row>
    <row r="12" spans="1:7" x14ac:dyDescent="0.25">
      <c r="A12" s="4"/>
      <c r="B12" s="9">
        <v>45453</v>
      </c>
      <c r="C12" s="8"/>
      <c r="D12" s="8"/>
      <c r="E12" s="10"/>
      <c r="G12" s="5"/>
    </row>
    <row r="13" spans="1:7" x14ac:dyDescent="0.25">
      <c r="A13" s="4"/>
      <c r="B13" s="9">
        <v>45458</v>
      </c>
      <c r="C13" s="8"/>
      <c r="D13" s="8"/>
      <c r="E13" s="10"/>
      <c r="G13" s="5"/>
    </row>
    <row r="14" spans="1:7" x14ac:dyDescent="0.25">
      <c r="A14" s="4"/>
      <c r="B14" s="9">
        <v>45463</v>
      </c>
      <c r="C14" s="8"/>
      <c r="D14" s="8"/>
      <c r="E14" s="10"/>
      <c r="G14" s="5"/>
    </row>
    <row r="15" spans="1:7" x14ac:dyDescent="0.25">
      <c r="A15" s="4"/>
      <c r="B15" s="9">
        <v>45451</v>
      </c>
      <c r="C15" s="8"/>
      <c r="D15" s="8"/>
      <c r="E15" s="10"/>
      <c r="G15" s="5"/>
    </row>
    <row r="16" spans="1:7" ht="18.75" customHeight="1" x14ac:dyDescent="0.25">
      <c r="A16" s="4"/>
      <c r="B16" s="9"/>
      <c r="C16" s="8" t="s">
        <v>64</v>
      </c>
      <c r="D16" s="8" t="s">
        <v>59</v>
      </c>
      <c r="E16" s="10">
        <f>SUM(GastosFixos7188193198[[#All],[Valor]])</f>
        <v>0</v>
      </c>
      <c r="F16" t="str">
        <f>_xlfn.IFNA(VLOOKUP("Não",GastosFixos7188193198[Pago?],1,FALSE),"Sim")</f>
        <v>Sim</v>
      </c>
      <c r="G16" s="5"/>
    </row>
    <row r="17" spans="1:7" ht="18.75" customHeight="1" x14ac:dyDescent="0.25">
      <c r="A17" s="6"/>
      <c r="B17" s="44"/>
      <c r="C17" s="44"/>
      <c r="D17" s="44"/>
      <c r="E17" s="44"/>
      <c r="F17" s="44"/>
      <c r="G17" s="7"/>
    </row>
    <row r="18" spans="1:7" ht="18.75" customHeight="1" x14ac:dyDescent="0.25">
      <c r="A18" s="2"/>
      <c r="B18" s="42" t="s">
        <v>63</v>
      </c>
      <c r="C18" s="42"/>
      <c r="D18" s="42"/>
      <c r="E18" s="42"/>
      <c r="F18" s="42"/>
      <c r="G18" s="3"/>
    </row>
    <row r="19" spans="1:7" x14ac:dyDescent="0.25">
      <c r="A19" s="4"/>
      <c r="B19" t="s">
        <v>50</v>
      </c>
      <c r="C19" t="s">
        <v>51</v>
      </c>
      <c r="D19" t="s">
        <v>52</v>
      </c>
      <c r="E19" t="s">
        <v>53</v>
      </c>
      <c r="F19" t="s">
        <v>54</v>
      </c>
      <c r="G19" s="5"/>
    </row>
    <row r="20" spans="1:7" x14ac:dyDescent="0.25">
      <c r="A20" s="4"/>
      <c r="B20" s="9">
        <f t="shared" ref="B20" ca="1" si="0">TODAY()</f>
        <v>45475</v>
      </c>
      <c r="C20" s="8"/>
      <c r="D20" s="8"/>
      <c r="E20" s="10"/>
      <c r="G20" s="5"/>
    </row>
    <row r="21" spans="1:7" x14ac:dyDescent="0.25">
      <c r="A21" s="4"/>
      <c r="B21" s="9">
        <f ca="1">TODAY()</f>
        <v>45475</v>
      </c>
      <c r="C21" s="8"/>
      <c r="D21" s="8"/>
      <c r="E21" s="10"/>
      <c r="G21" s="5"/>
    </row>
    <row r="22" spans="1:7" x14ac:dyDescent="0.25">
      <c r="A22" s="4"/>
      <c r="B22" s="9">
        <f t="shared" ref="B22:B23" ca="1" si="1">TODAY()</f>
        <v>45475</v>
      </c>
      <c r="C22" s="8"/>
      <c r="D22" s="8"/>
      <c r="E22" s="10"/>
      <c r="G22" s="5"/>
    </row>
    <row r="23" spans="1:7" x14ac:dyDescent="0.25">
      <c r="A23" s="4"/>
      <c r="B23" s="9">
        <f t="shared" ca="1" si="1"/>
        <v>45475</v>
      </c>
      <c r="C23" s="8"/>
      <c r="D23" s="8"/>
      <c r="E23" s="10"/>
      <c r="G23" s="5"/>
    </row>
    <row r="24" spans="1:7" x14ac:dyDescent="0.25">
      <c r="A24" s="4"/>
      <c r="B24" s="9"/>
      <c r="C24" s="8" t="s">
        <v>65</v>
      </c>
      <c r="D24" s="8" t="s">
        <v>59</v>
      </c>
      <c r="E24" s="10">
        <f>SUM(GastosVariadosEssenciais9189194199[[#All],[Valor]])</f>
        <v>0</v>
      </c>
      <c r="F24" t="str">
        <f>_xlfn.IFNA(VLOOKUP("Não",GastosVariadosEssenciais9189194199[Pago?],1,FALSE),"Sim")</f>
        <v>Sim</v>
      </c>
      <c r="G24" s="5"/>
    </row>
    <row r="25" spans="1:7" x14ac:dyDescent="0.25">
      <c r="A25" s="6"/>
      <c r="B25" s="44"/>
      <c r="C25" s="44"/>
      <c r="D25" s="44"/>
      <c r="E25" s="44"/>
      <c r="F25" s="44"/>
      <c r="G25" s="7"/>
    </row>
    <row r="26" spans="1:7" x14ac:dyDescent="0.25">
      <c r="A26" s="2"/>
      <c r="B26" s="42" t="s">
        <v>67</v>
      </c>
      <c r="C26" s="42"/>
      <c r="D26" s="42"/>
      <c r="E26" s="42"/>
      <c r="F26" s="42"/>
      <c r="G26" s="3"/>
    </row>
    <row r="27" spans="1:7" x14ac:dyDescent="0.25">
      <c r="A27" s="4"/>
      <c r="B27" t="s">
        <v>50</v>
      </c>
      <c r="C27" t="s">
        <v>51</v>
      </c>
      <c r="D27" t="s">
        <v>52</v>
      </c>
      <c r="E27" t="s">
        <v>53</v>
      </c>
      <c r="F27" t="s">
        <v>54</v>
      </c>
      <c r="G27" s="5"/>
    </row>
    <row r="28" spans="1:7" x14ac:dyDescent="0.25">
      <c r="A28" s="4"/>
      <c r="B28" s="9">
        <v>45463</v>
      </c>
      <c r="C28" s="8"/>
      <c r="D28" s="8"/>
      <c r="E28" s="10"/>
      <c r="G28" s="5"/>
    </row>
    <row r="29" spans="1:7" x14ac:dyDescent="0.25">
      <c r="A29" s="4"/>
      <c r="B29" s="9">
        <v>45463</v>
      </c>
      <c r="C29" s="8"/>
      <c r="D29" s="8"/>
      <c r="E29" s="10"/>
      <c r="G29" s="5"/>
    </row>
    <row r="30" spans="1:7" x14ac:dyDescent="0.25">
      <c r="A30" s="4"/>
      <c r="B30" s="9">
        <v>45463</v>
      </c>
      <c r="C30" s="8"/>
      <c r="D30" s="8"/>
      <c r="E30" s="10"/>
      <c r="G30" s="5"/>
    </row>
    <row r="31" spans="1:7" x14ac:dyDescent="0.25">
      <c r="A31" s="4"/>
      <c r="B31" s="9">
        <v>45468</v>
      </c>
      <c r="C31" s="8"/>
      <c r="D31" s="8"/>
      <c r="E31" s="10"/>
      <c r="G31" s="5"/>
    </row>
    <row r="32" spans="1:7" x14ac:dyDescent="0.25">
      <c r="A32" s="4"/>
      <c r="B32" s="9">
        <v>45463</v>
      </c>
      <c r="C32" s="8"/>
      <c r="D32" s="8"/>
      <c r="E32" s="10"/>
      <c r="G32" s="5"/>
    </row>
    <row r="33" spans="1:7" x14ac:dyDescent="0.25">
      <c r="A33" s="4"/>
      <c r="B33" s="9"/>
      <c r="C33" s="8" t="s">
        <v>71</v>
      </c>
      <c r="D33" s="8" t="s">
        <v>59</v>
      </c>
      <c r="E33" s="10">
        <f>SUM(GastosVariadosNãoEssenciais10190195200[[#All],[Valor]])</f>
        <v>0</v>
      </c>
      <c r="F33" t="str">
        <f>_xlfn.IFNA(VLOOKUP("Não",GastosVariadosNãoEssenciais10190195200[Pago?],1,FALSE),"Sim")</f>
        <v>Sim</v>
      </c>
      <c r="G33" s="5"/>
    </row>
    <row r="34" spans="1:7" x14ac:dyDescent="0.25">
      <c r="A34" s="4"/>
      <c r="B34" s="41"/>
      <c r="C34" s="41"/>
      <c r="D34" s="41"/>
      <c r="E34" s="41"/>
      <c r="F34" s="41"/>
      <c r="G34" s="5"/>
    </row>
    <row r="35" spans="1:7" x14ac:dyDescent="0.25">
      <c r="A35" s="2"/>
      <c r="B35" s="12"/>
      <c r="C35" s="42" t="s">
        <v>80</v>
      </c>
      <c r="D35" s="42"/>
      <c r="E35" s="42"/>
      <c r="F35" s="12"/>
      <c r="G35" s="3"/>
    </row>
    <row r="36" spans="1:7" x14ac:dyDescent="0.25">
      <c r="A36" s="4"/>
      <c r="B36" s="11"/>
      <c r="C36" t="s">
        <v>81</v>
      </c>
      <c r="D36" t="s">
        <v>84</v>
      </c>
      <c r="E36" t="s">
        <v>53</v>
      </c>
      <c r="F36" s="11"/>
      <c r="G36" s="5"/>
    </row>
    <row r="37" spans="1:7" x14ac:dyDescent="0.25">
      <c r="A37" s="4"/>
      <c r="B37" s="11"/>
      <c r="C37" s="15" t="s">
        <v>82</v>
      </c>
      <c r="D37" s="15"/>
      <c r="E37" s="15">
        <f>RendaTotal</f>
        <v>0</v>
      </c>
      <c r="F37" s="11"/>
      <c r="G37" s="5"/>
    </row>
    <row r="38" spans="1:7" x14ac:dyDescent="0.25">
      <c r="A38" s="4"/>
      <c r="B38" s="11"/>
      <c r="C38" s="16" t="s">
        <v>64</v>
      </c>
      <c r="D38" s="16"/>
      <c r="E38" s="16">
        <f>FixosTotais</f>
        <v>0</v>
      </c>
      <c r="F38" s="11"/>
      <c r="G38" s="5"/>
    </row>
    <row r="39" spans="1:7" x14ac:dyDescent="0.25">
      <c r="A39" s="4"/>
      <c r="B39" s="11"/>
      <c r="C39" s="16" t="s">
        <v>86</v>
      </c>
      <c r="D39" s="16"/>
      <c r="E39" s="16">
        <f>EssenciaisTotais</f>
        <v>0</v>
      </c>
      <c r="F39" s="11"/>
      <c r="G39" s="5"/>
    </row>
    <row r="40" spans="1:7" x14ac:dyDescent="0.25">
      <c r="A40" s="4"/>
      <c r="B40" s="11"/>
      <c r="C40" s="17" t="s">
        <v>87</v>
      </c>
      <c r="D40" s="17"/>
      <c r="E40" s="17">
        <f>NãoEssenciaisTotais</f>
        <v>0</v>
      </c>
      <c r="F40" s="11"/>
      <c r="G40" s="5"/>
    </row>
    <row r="41" spans="1:7" x14ac:dyDescent="0.25">
      <c r="A41" s="4"/>
      <c r="B41" s="11"/>
      <c r="C41" s="10" t="s">
        <v>83</v>
      </c>
      <c r="D41" s="10"/>
      <c r="E41" s="10">
        <f>E37-SUM(E38:E40)</f>
        <v>0</v>
      </c>
      <c r="F41" s="11"/>
      <c r="G41" s="5"/>
    </row>
    <row r="42" spans="1:7" x14ac:dyDescent="0.25">
      <c r="A42" s="6"/>
      <c r="B42" s="13"/>
      <c r="C42" s="13"/>
      <c r="D42" s="13"/>
      <c r="E42" s="13"/>
      <c r="F42" s="13"/>
      <c r="G42" s="7"/>
    </row>
  </sheetData>
  <dataConsolidate/>
  <mergeCells count="9">
    <mergeCell ref="B26:F26"/>
    <mergeCell ref="B34:F34"/>
    <mergeCell ref="C35:E35"/>
    <mergeCell ref="A1:G1"/>
    <mergeCell ref="C2:E2"/>
    <mergeCell ref="B9:F9"/>
    <mergeCell ref="B17:F17"/>
    <mergeCell ref="B18:F18"/>
    <mergeCell ref="B25:F25"/>
  </mergeCells>
  <conditionalFormatting sqref="E41">
    <cfRule type="cellIs" dxfId="336" priority="1" operator="lessThanOrEqual">
      <formula>0</formula>
    </cfRule>
    <cfRule type="cellIs" dxfId="335" priority="2" operator="between">
      <formula>100</formula>
      <formula>0</formula>
    </cfRule>
  </conditionalFormatting>
  <dataValidations count="2">
    <dataValidation type="list" allowBlank="1" showInputMessage="1" showErrorMessage="1" sqref="D11:D15 D20:D23 D28:D32" xr:uid="{C3D91630-4D0A-4D53-BEED-F9CF7AB6B99F}">
      <formula1>Tipos</formula1>
    </dataValidation>
    <dataValidation type="date" allowBlank="1" showInputMessage="1" showErrorMessage="1" sqref="B11:B15 B20:B23 B28:B32 B4:B6" xr:uid="{AE42C637-715A-4111-B17C-00FCDD31D6B4}">
      <formula1>43831</formula1>
      <formula2>73415</formula2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OcultarGraficos">
                <anchor moveWithCells="1">
                  <from>
                    <xdr:col>14</xdr:col>
                    <xdr:colOff>9525</xdr:colOff>
                    <xdr:row>3</xdr:row>
                    <xdr:rowOff>180975</xdr:rowOff>
                  </from>
                  <to>
                    <xdr:col>20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ExibirGraficos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19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94E8FD97-2A77-4A06-9570-855364298CEC}">
            <xm:f>NOT(ISERROR(SEARCH('Tipos de Gastos'!$K$1,D3)))</xm:f>
            <xm:f>'Tipos de Gastos'!$K$1</xm:f>
            <x14:dxf>
              <fill>
                <patternFill>
                  <bgColor rgb="FFDAADA6"/>
                </patternFill>
              </fill>
            </x14:dxf>
          </x14:cfRule>
          <x14:cfRule type="containsText" priority="6" operator="containsText" id="{A9E8DBDD-1354-482A-BB49-983095CA50F1}">
            <xm:f>NOT(ISERROR(SEARCH('Tipos de Gastos'!$J$1,D3)))</xm:f>
            <xm:f>'Tipos de Gastos'!$J$1</xm:f>
            <x14:dxf>
              <fill>
                <patternFill>
                  <bgColor rgb="FFB2B2B2"/>
                </patternFill>
              </fill>
            </x14:dxf>
          </x14:cfRule>
          <x14:cfRule type="containsText" priority="7" operator="containsText" id="{C71309B7-DD24-47D9-A32A-19312F313553}">
            <xm:f>NOT(ISERROR(SEARCH('Tipos de Gastos'!$I$1,D3)))</xm:f>
            <xm:f>'Tipos de Gastos'!$I$1</xm:f>
            <x14:dxf>
              <fill>
                <patternFill>
                  <bgColor rgb="FF00FF99"/>
                </patternFill>
              </fill>
            </x14:dxf>
          </x14:cfRule>
          <x14:cfRule type="containsText" priority="8" operator="containsText" id="{B2558E7E-8692-4337-8C18-E4BD14AB4653}">
            <xm:f>NOT(ISERROR(SEARCH('Tipos de Gastos'!$H$1,D3)))</xm:f>
            <xm:f>'Tipos de Gastos'!$H$1</xm:f>
            <x14:dxf>
              <fill>
                <patternFill>
                  <bgColor rgb="FFCC99FF"/>
                </patternFill>
              </fill>
            </x14:dxf>
          </x14:cfRule>
          <x14:cfRule type="containsText" priority="9" operator="containsText" id="{75449803-C21B-4D1C-94FD-07B55715169F}">
            <xm:f>NOT(ISERROR(SEARCH('Tipos de Gastos'!$G$1,D3)))</xm:f>
            <xm:f>'Tipos de Gastos'!$G$1</xm:f>
            <x14:dxf>
              <fill>
                <patternFill>
                  <bgColor rgb="FF66FFCC"/>
                </patternFill>
              </fill>
            </x14:dxf>
          </x14:cfRule>
          <x14:cfRule type="containsText" priority="10" operator="containsText" id="{D3D5998F-C891-4B41-9248-FE880D3A3D8A}">
            <xm:f>NOT(ISERROR(SEARCH('Tipos de Gastos'!$F$1,D3)))</xm:f>
            <xm:f>'Tipos de Gastos'!$F$1</xm:f>
            <x14:dxf>
              <fill>
                <patternFill>
                  <bgColor rgb="FF66FF66"/>
                </patternFill>
              </fill>
            </x14:dxf>
          </x14:cfRule>
          <x14:cfRule type="containsText" priority="11" operator="containsText" id="{BDD1059A-A437-44D3-AC09-DAC3EB17385F}">
            <xm:f>NOT(ISERROR(SEARCH('Tipos de Gastos'!$E$1,D3)))</xm:f>
            <xm:f>'Tipos de Gastos'!$E$1</xm:f>
            <x14:dxf>
              <fill>
                <patternFill>
                  <bgColor rgb="FFCCFF33"/>
                </patternFill>
              </fill>
            </x14:dxf>
          </x14:cfRule>
          <x14:cfRule type="containsText" priority="12" operator="containsText" id="{F847E0A2-5A11-4FC8-82AF-67EC46F259CC}">
            <xm:f>NOT(ISERROR(SEARCH('Tipos de Gastos'!$D$1,D3)))</xm:f>
            <xm:f>'Tipos de Gastos'!$D$1</xm:f>
            <x14:dxf>
              <fill>
                <patternFill>
                  <bgColor rgb="FFFF7C80"/>
                </patternFill>
              </fill>
            </x14:dxf>
          </x14:cfRule>
          <x14:cfRule type="containsText" priority="13" operator="containsText" id="{74811F24-0619-4F37-B18D-7A7D19D972B3}">
            <xm:f>NOT(ISERROR(SEARCH('Tipos de Gastos'!$C$1,D3)))</xm:f>
            <xm:f>'Tipos de Gastos'!$C$1</xm:f>
            <x14:dxf>
              <fill>
                <patternFill>
                  <bgColor rgb="FFFFCC66"/>
                </patternFill>
              </fill>
            </x14:dxf>
          </x14:cfRule>
          <x14:cfRule type="containsText" priority="14" operator="containsText" id="{56338589-B1ED-48B2-9371-15C9D8921C83}">
            <xm:f>NOT(ISERROR(SEARCH('Tipos de Gastos'!$B$1,D3)))</xm:f>
            <xm:f>'Tipos de Gastos'!$B$1</xm:f>
            <x14:dxf>
              <fill>
                <patternFill>
                  <bgColor rgb="FFFFFF66"/>
                </patternFill>
              </fill>
            </x14:dxf>
          </x14:cfRule>
          <x14:cfRule type="containsText" priority="15" operator="containsText" id="{44272D91-7310-4DD0-88AA-C442E3E6EA9A}">
            <xm:f>NOT(ISERROR(SEARCH('Tipos de Gastos'!$A$1,D3)))</xm:f>
            <xm:f>'Tipos de Gastos'!$A$1</xm:f>
            <x14:dxf>
              <fill>
                <patternFill patternType="solid">
                  <bgColor rgb="FFCC99FF"/>
                </patternFill>
              </fill>
            </x14:dxf>
          </x14:cfRule>
          <xm:sqref>D3 D7:D34 E37:E41 D42:D1048576</xm:sqref>
        </x14:conditionalFormatting>
        <x14:conditionalFormatting xmlns:xm="http://schemas.microsoft.com/office/excel/2006/main">
          <x14:cfRule type="containsText" priority="3" operator="containsText" id="{C82ED1B3-513E-4534-9D12-932428F539DF}">
            <xm:f>NOT(ISERROR(SEARCH('Variáveis de Seleção'!$A$2,B2)))</xm:f>
            <xm:f>'Variáveis de Seleção'!$A$2</xm:f>
            <x14:dxf>
              <font>
                <u val="double"/>
              </font>
              <fill>
                <patternFill>
                  <bgColor rgb="FF92D050"/>
                </patternFill>
              </fill>
            </x14:dxf>
          </x14:cfRule>
          <xm:sqref>E36:E41 C2 F2 B3:F3 B4:C6 E4:F6 B7:F34 B35:C41 F35:F41 B42:F1048576</xm:sqref>
        </x14:conditionalFormatting>
        <x14:conditionalFormatting xmlns:xm="http://schemas.microsoft.com/office/excel/2006/main">
          <x14:cfRule type="containsText" priority="4" operator="containsText" id="{9D1A655C-A154-478A-8B22-D295D512E14F}">
            <xm:f>NOT(ISERROR(SEARCH('Variáveis de Seleção'!$A$3,F2)))</xm:f>
            <xm:f>'Variáveis de Seleção'!$A$3</xm:f>
            <x14:dxf>
              <font>
                <b val="0"/>
                <i val="0"/>
                <u val="double"/>
                <color auto="1"/>
              </font>
              <fill>
                <patternFill patternType="solid">
                  <bgColor rgb="FFFFFF00"/>
                </patternFill>
              </fill>
            </x14:dxf>
          </x14:cfRule>
          <xm:sqref>F2:F1048576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698FFE8-C872-4044-ABB2-6A81701C3582}">
          <x14:formula1>
            <xm:f>'Variáveis de Seleção'!$A$2:$A$3</xm:f>
          </x14:formula1>
          <xm:sqref>F11:F15 F20:F23 F28:F32 F4:F6</xm:sqref>
        </x14:dataValidation>
        <x14:dataValidation type="list" allowBlank="1" showInputMessage="1" showErrorMessage="1" xr:uid="{C0B92474-6D57-4C4A-BBE4-69F49525ED54}">
          <x14:formula1>
            <xm:f>'Variáveis de Seleção'!$B$2:$B$4</xm:f>
          </x14:formula1>
          <xm:sqref>D4:D6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EE979-90A6-40BD-8118-9196DFCC0A0E}">
  <sheetPr codeName="Planilha10"/>
  <dimension ref="A1:G42"/>
  <sheetViews>
    <sheetView showGridLines="0" topLeftCell="A7" zoomScaleNormal="100" workbookViewId="0">
      <selection activeCell="E12" sqref="E12"/>
    </sheetView>
  </sheetViews>
  <sheetFormatPr defaultRowHeight="15" x14ac:dyDescent="0.25"/>
  <cols>
    <col min="1" max="1" width="3.5703125" customWidth="1"/>
    <col min="2" max="2" width="10.7109375" customWidth="1"/>
    <col min="3" max="3" width="22.140625" customWidth="1"/>
    <col min="4" max="4" width="20.28515625" customWidth="1"/>
    <col min="5" max="5" width="12.140625" bestFit="1" customWidth="1"/>
    <col min="7" max="7" width="3.5703125" customWidth="1"/>
  </cols>
  <sheetData>
    <row r="1" spans="1:7" x14ac:dyDescent="0.25">
      <c r="A1" s="45" t="s">
        <v>94</v>
      </c>
      <c r="B1" s="45"/>
      <c r="C1" s="45"/>
      <c r="D1" s="45"/>
      <c r="E1" s="45"/>
      <c r="F1" s="45"/>
      <c r="G1" s="45"/>
    </row>
    <row r="2" spans="1:7" x14ac:dyDescent="0.25">
      <c r="A2" s="2"/>
      <c r="B2" s="11"/>
      <c r="C2" s="42" t="s">
        <v>72</v>
      </c>
      <c r="D2" s="42"/>
      <c r="E2" s="42"/>
      <c r="F2" s="12"/>
      <c r="G2" s="3"/>
    </row>
    <row r="3" spans="1:7" x14ac:dyDescent="0.25">
      <c r="A3" s="4"/>
      <c r="B3" s="11"/>
      <c r="C3" t="s">
        <v>51</v>
      </c>
      <c r="D3" t="s">
        <v>52</v>
      </c>
      <c r="E3" t="s">
        <v>53</v>
      </c>
      <c r="F3" s="11"/>
      <c r="G3" s="5"/>
    </row>
    <row r="4" spans="1:7" x14ac:dyDescent="0.25">
      <c r="A4" s="4"/>
      <c r="B4" s="14"/>
      <c r="C4" s="8" t="s">
        <v>76</v>
      </c>
      <c r="D4" s="8" t="s">
        <v>79</v>
      </c>
      <c r="E4" s="10"/>
      <c r="F4" s="11"/>
      <c r="G4" s="5"/>
    </row>
    <row r="5" spans="1:7" x14ac:dyDescent="0.25">
      <c r="A5" s="4"/>
      <c r="B5" s="14"/>
      <c r="C5" s="8" t="s">
        <v>77</v>
      </c>
      <c r="D5" s="8" t="s">
        <v>74</v>
      </c>
      <c r="E5" s="10"/>
      <c r="F5" s="11"/>
      <c r="G5" s="5"/>
    </row>
    <row r="6" spans="1:7" x14ac:dyDescent="0.25">
      <c r="A6" s="4"/>
      <c r="B6" s="14"/>
      <c r="C6" s="8" t="s">
        <v>78</v>
      </c>
      <c r="D6" s="8" t="s">
        <v>75</v>
      </c>
      <c r="E6" s="10"/>
      <c r="F6" s="11"/>
      <c r="G6" s="5"/>
    </row>
    <row r="7" spans="1:7" x14ac:dyDescent="0.25">
      <c r="A7" s="4"/>
      <c r="B7" s="14"/>
      <c r="C7" s="8"/>
      <c r="D7" s="8" t="s">
        <v>59</v>
      </c>
      <c r="E7" s="10">
        <f>SUM(Entrada11191196201206211[Valor])</f>
        <v>0</v>
      </c>
      <c r="F7" s="11"/>
      <c r="G7" s="5"/>
    </row>
    <row r="8" spans="1:7" x14ac:dyDescent="0.25">
      <c r="A8" s="6"/>
      <c r="B8" s="13"/>
      <c r="C8" s="13"/>
      <c r="D8" s="13"/>
      <c r="E8" s="13"/>
      <c r="F8" s="13"/>
      <c r="G8" s="7"/>
    </row>
    <row r="9" spans="1:7" ht="18.75" customHeight="1" x14ac:dyDescent="0.25">
      <c r="A9" s="2"/>
      <c r="B9" s="42" t="s">
        <v>49</v>
      </c>
      <c r="C9" s="42"/>
      <c r="D9" s="42"/>
      <c r="E9" s="42"/>
      <c r="F9" s="42"/>
      <c r="G9" s="3"/>
    </row>
    <row r="10" spans="1:7" x14ac:dyDescent="0.25">
      <c r="A10" s="4"/>
      <c r="B10" t="s">
        <v>50</v>
      </c>
      <c r="C10" t="s">
        <v>51</v>
      </c>
      <c r="D10" t="s">
        <v>52</v>
      </c>
      <c r="E10" t="s">
        <v>53</v>
      </c>
      <c r="F10" t="s">
        <v>54</v>
      </c>
      <c r="G10" s="5"/>
    </row>
    <row r="11" spans="1:7" x14ac:dyDescent="0.25">
      <c r="A11" s="4"/>
      <c r="B11" s="9">
        <v>45453</v>
      </c>
      <c r="C11" s="8"/>
      <c r="D11" s="8"/>
      <c r="E11" s="10"/>
      <c r="G11" s="5"/>
    </row>
    <row r="12" spans="1:7" x14ac:dyDescent="0.25">
      <c r="A12" s="4"/>
      <c r="B12" s="9">
        <v>45453</v>
      </c>
      <c r="C12" s="8"/>
      <c r="D12" s="8"/>
      <c r="E12" s="10"/>
      <c r="G12" s="5"/>
    </row>
    <row r="13" spans="1:7" x14ac:dyDescent="0.25">
      <c r="A13" s="4"/>
      <c r="B13" s="9">
        <v>45458</v>
      </c>
      <c r="C13" s="8"/>
      <c r="D13" s="8"/>
      <c r="E13" s="10"/>
      <c r="G13" s="5"/>
    </row>
    <row r="14" spans="1:7" x14ac:dyDescent="0.25">
      <c r="A14" s="4"/>
      <c r="B14" s="9">
        <v>45463</v>
      </c>
      <c r="C14" s="8"/>
      <c r="D14" s="8"/>
      <c r="E14" s="10"/>
      <c r="G14" s="5"/>
    </row>
    <row r="15" spans="1:7" x14ac:dyDescent="0.25">
      <c r="A15" s="4"/>
      <c r="B15" s="9">
        <v>45451</v>
      </c>
      <c r="C15" s="8"/>
      <c r="D15" s="8"/>
      <c r="E15" s="10"/>
      <c r="G15" s="5"/>
    </row>
    <row r="16" spans="1:7" ht="18.75" customHeight="1" x14ac:dyDescent="0.25">
      <c r="A16" s="4"/>
      <c r="B16" s="9"/>
      <c r="C16" s="8" t="s">
        <v>64</v>
      </c>
      <c r="D16" s="8" t="s">
        <v>59</v>
      </c>
      <c r="E16" s="10">
        <f>SUM(GastosFixos7188193198203208[[#All],[Valor]])</f>
        <v>0</v>
      </c>
      <c r="F16" t="str">
        <f>_xlfn.IFNA(VLOOKUP("Não",GastosFixos7188193198203208[Pago?],1,FALSE),"Sim")</f>
        <v>Sim</v>
      </c>
      <c r="G16" s="5"/>
    </row>
    <row r="17" spans="1:7" ht="18.75" customHeight="1" x14ac:dyDescent="0.25">
      <c r="A17" s="6"/>
      <c r="B17" s="44"/>
      <c r="C17" s="44"/>
      <c r="D17" s="44"/>
      <c r="E17" s="44"/>
      <c r="F17" s="44"/>
      <c r="G17" s="7"/>
    </row>
    <row r="18" spans="1:7" ht="18.75" customHeight="1" x14ac:dyDescent="0.25">
      <c r="A18" s="2"/>
      <c r="B18" s="42" t="s">
        <v>63</v>
      </c>
      <c r="C18" s="42"/>
      <c r="D18" s="42"/>
      <c r="E18" s="42"/>
      <c r="F18" s="42"/>
      <c r="G18" s="3"/>
    </row>
    <row r="19" spans="1:7" x14ac:dyDescent="0.25">
      <c r="A19" s="4"/>
      <c r="B19" t="s">
        <v>50</v>
      </c>
      <c r="C19" t="s">
        <v>51</v>
      </c>
      <c r="D19" t="s">
        <v>52</v>
      </c>
      <c r="E19" t="s">
        <v>53</v>
      </c>
      <c r="F19" t="s">
        <v>54</v>
      </c>
      <c r="G19" s="5"/>
    </row>
    <row r="20" spans="1:7" x14ac:dyDescent="0.25">
      <c r="A20" s="4"/>
      <c r="B20" s="9">
        <f t="shared" ref="B20" ca="1" si="0">TODAY()</f>
        <v>45475</v>
      </c>
      <c r="C20" s="8"/>
      <c r="D20" s="8"/>
      <c r="E20" s="10"/>
      <c r="G20" s="5"/>
    </row>
    <row r="21" spans="1:7" x14ac:dyDescent="0.25">
      <c r="A21" s="4"/>
      <c r="B21" s="9">
        <f ca="1">TODAY()</f>
        <v>45475</v>
      </c>
      <c r="C21" s="8"/>
      <c r="D21" s="8"/>
      <c r="E21" s="10"/>
      <c r="G21" s="5"/>
    </row>
    <row r="22" spans="1:7" x14ac:dyDescent="0.25">
      <c r="A22" s="4"/>
      <c r="B22" s="9">
        <f t="shared" ref="B22:B23" ca="1" si="1">TODAY()</f>
        <v>45475</v>
      </c>
      <c r="C22" s="8"/>
      <c r="D22" s="8"/>
      <c r="E22" s="10"/>
      <c r="G22" s="5"/>
    </row>
    <row r="23" spans="1:7" x14ac:dyDescent="0.25">
      <c r="A23" s="4"/>
      <c r="B23" s="9">
        <f t="shared" ca="1" si="1"/>
        <v>45475</v>
      </c>
      <c r="C23" s="8"/>
      <c r="D23" s="8"/>
      <c r="E23" s="10"/>
      <c r="G23" s="5"/>
    </row>
    <row r="24" spans="1:7" x14ac:dyDescent="0.25">
      <c r="A24" s="4"/>
      <c r="B24" s="9"/>
      <c r="C24" s="8" t="s">
        <v>65</v>
      </c>
      <c r="D24" s="8" t="s">
        <v>59</v>
      </c>
      <c r="E24" s="10">
        <f>SUM(GastosVariadosEssenciais9189194199204209[[#All],[Valor]])</f>
        <v>0</v>
      </c>
      <c r="F24" t="str">
        <f>_xlfn.IFNA(VLOOKUP("Não",GastosVariadosEssenciais9189194199204209[Pago?],1,FALSE),"Sim")</f>
        <v>Sim</v>
      </c>
      <c r="G24" s="5"/>
    </row>
    <row r="25" spans="1:7" x14ac:dyDescent="0.25">
      <c r="A25" s="6"/>
      <c r="B25" s="44"/>
      <c r="C25" s="44"/>
      <c r="D25" s="44"/>
      <c r="E25" s="44"/>
      <c r="F25" s="44"/>
      <c r="G25" s="7"/>
    </row>
    <row r="26" spans="1:7" x14ac:dyDescent="0.25">
      <c r="A26" s="2"/>
      <c r="B26" s="42" t="s">
        <v>67</v>
      </c>
      <c r="C26" s="42"/>
      <c r="D26" s="42"/>
      <c r="E26" s="42"/>
      <c r="F26" s="42"/>
      <c r="G26" s="3"/>
    </row>
    <row r="27" spans="1:7" x14ac:dyDescent="0.25">
      <c r="A27" s="4"/>
      <c r="B27" t="s">
        <v>50</v>
      </c>
      <c r="C27" t="s">
        <v>51</v>
      </c>
      <c r="D27" t="s">
        <v>52</v>
      </c>
      <c r="E27" t="s">
        <v>53</v>
      </c>
      <c r="F27" t="s">
        <v>54</v>
      </c>
      <c r="G27" s="5"/>
    </row>
    <row r="28" spans="1:7" x14ac:dyDescent="0.25">
      <c r="A28" s="4"/>
      <c r="B28" s="9">
        <v>45463</v>
      </c>
      <c r="C28" s="8"/>
      <c r="D28" s="8"/>
      <c r="E28" s="10"/>
      <c r="G28" s="5"/>
    </row>
    <row r="29" spans="1:7" x14ac:dyDescent="0.25">
      <c r="A29" s="4"/>
      <c r="B29" s="9">
        <v>45463</v>
      </c>
      <c r="C29" s="8"/>
      <c r="D29" s="8"/>
      <c r="E29" s="10"/>
      <c r="G29" s="5"/>
    </row>
    <row r="30" spans="1:7" x14ac:dyDescent="0.25">
      <c r="A30" s="4"/>
      <c r="B30" s="9">
        <v>45463</v>
      </c>
      <c r="C30" s="8"/>
      <c r="D30" s="8"/>
      <c r="E30" s="10"/>
      <c r="G30" s="5"/>
    </row>
    <row r="31" spans="1:7" x14ac:dyDescent="0.25">
      <c r="A31" s="4"/>
      <c r="B31" s="9">
        <v>45468</v>
      </c>
      <c r="C31" s="8"/>
      <c r="D31" s="8"/>
      <c r="E31" s="10"/>
      <c r="G31" s="5"/>
    </row>
    <row r="32" spans="1:7" x14ac:dyDescent="0.25">
      <c r="A32" s="4"/>
      <c r="B32" s="9">
        <v>45463</v>
      </c>
      <c r="C32" s="8"/>
      <c r="D32" s="8"/>
      <c r="E32" s="10"/>
      <c r="G32" s="5"/>
    </row>
    <row r="33" spans="1:7" x14ac:dyDescent="0.25">
      <c r="A33" s="4"/>
      <c r="B33" s="9"/>
      <c r="C33" s="8" t="s">
        <v>71</v>
      </c>
      <c r="D33" s="8" t="s">
        <v>59</v>
      </c>
      <c r="E33" s="10">
        <f>SUM(GastosVariadosNãoEssenciais10190195200205210[[#All],[Valor]])</f>
        <v>0</v>
      </c>
      <c r="F33" t="str">
        <f>_xlfn.IFNA(VLOOKUP("Não",GastosVariadosNãoEssenciais10190195200205210[Pago?],1,FALSE),"Sim")</f>
        <v>Sim</v>
      </c>
      <c r="G33" s="5"/>
    </row>
    <row r="34" spans="1:7" x14ac:dyDescent="0.25">
      <c r="A34" s="4"/>
      <c r="B34" s="41"/>
      <c r="C34" s="41"/>
      <c r="D34" s="41"/>
      <c r="E34" s="41"/>
      <c r="F34" s="41"/>
      <c r="G34" s="5"/>
    </row>
    <row r="35" spans="1:7" x14ac:dyDescent="0.25">
      <c r="A35" s="2"/>
      <c r="B35" s="12"/>
      <c r="C35" s="42" t="s">
        <v>80</v>
      </c>
      <c r="D35" s="42"/>
      <c r="E35" s="42"/>
      <c r="F35" s="12"/>
      <c r="G35" s="3"/>
    </row>
    <row r="36" spans="1:7" x14ac:dyDescent="0.25">
      <c r="A36" s="4"/>
      <c r="B36" s="11"/>
      <c r="C36" t="s">
        <v>81</v>
      </c>
      <c r="D36" t="s">
        <v>84</v>
      </c>
      <c r="E36" t="s">
        <v>53</v>
      </c>
      <c r="F36" s="11"/>
      <c r="G36" s="5"/>
    </row>
    <row r="37" spans="1:7" x14ac:dyDescent="0.25">
      <c r="A37" s="4"/>
      <c r="B37" s="11"/>
      <c r="C37" s="15" t="s">
        <v>82</v>
      </c>
      <c r="D37" s="15"/>
      <c r="E37" s="15">
        <f>RendaTotal</f>
        <v>0</v>
      </c>
      <c r="F37" s="11"/>
      <c r="G37" s="5"/>
    </row>
    <row r="38" spans="1:7" x14ac:dyDescent="0.25">
      <c r="A38" s="4"/>
      <c r="B38" s="11"/>
      <c r="C38" s="16" t="s">
        <v>64</v>
      </c>
      <c r="D38" s="16"/>
      <c r="E38" s="16">
        <f>FixosTotais</f>
        <v>0</v>
      </c>
      <c r="F38" s="11"/>
      <c r="G38" s="5"/>
    </row>
    <row r="39" spans="1:7" x14ac:dyDescent="0.25">
      <c r="A39" s="4"/>
      <c r="B39" s="11"/>
      <c r="C39" s="16" t="s">
        <v>86</v>
      </c>
      <c r="D39" s="16"/>
      <c r="E39" s="16">
        <f>EssenciaisTotais</f>
        <v>0</v>
      </c>
      <c r="F39" s="11"/>
      <c r="G39" s="5"/>
    </row>
    <row r="40" spans="1:7" x14ac:dyDescent="0.25">
      <c r="A40" s="4"/>
      <c r="B40" s="11"/>
      <c r="C40" s="17" t="s">
        <v>87</v>
      </c>
      <c r="D40" s="17"/>
      <c r="E40" s="17">
        <f>NãoEssenciaisTotais</f>
        <v>0</v>
      </c>
      <c r="F40" s="11"/>
      <c r="G40" s="5"/>
    </row>
    <row r="41" spans="1:7" x14ac:dyDescent="0.25">
      <c r="A41" s="4"/>
      <c r="B41" s="11"/>
      <c r="C41" s="10" t="s">
        <v>83</v>
      </c>
      <c r="D41" s="10"/>
      <c r="E41" s="10">
        <f>E37-SUM(E38:E40)</f>
        <v>0</v>
      </c>
      <c r="F41" s="11"/>
      <c r="G41" s="5"/>
    </row>
    <row r="42" spans="1:7" x14ac:dyDescent="0.25">
      <c r="A42" s="6"/>
      <c r="B42" s="13"/>
      <c r="C42" s="13"/>
      <c r="D42" s="13"/>
      <c r="E42" s="13"/>
      <c r="F42" s="13"/>
      <c r="G42" s="7"/>
    </row>
  </sheetData>
  <dataConsolidate/>
  <mergeCells count="9">
    <mergeCell ref="B26:F26"/>
    <mergeCell ref="B34:F34"/>
    <mergeCell ref="C35:E35"/>
    <mergeCell ref="A1:G1"/>
    <mergeCell ref="C2:E2"/>
    <mergeCell ref="B9:F9"/>
    <mergeCell ref="B17:F17"/>
    <mergeCell ref="B18:F18"/>
    <mergeCell ref="B25:F25"/>
  </mergeCells>
  <conditionalFormatting sqref="E41">
    <cfRule type="cellIs" dxfId="300" priority="1" operator="lessThanOrEqual">
      <formula>0</formula>
    </cfRule>
    <cfRule type="cellIs" dxfId="299" priority="2" operator="between">
      <formula>100</formula>
      <formula>0</formula>
    </cfRule>
  </conditionalFormatting>
  <dataValidations count="2">
    <dataValidation type="list" allowBlank="1" showInputMessage="1" showErrorMessage="1" sqref="D11:D15 D20:D23 D28:D32" xr:uid="{03A280B5-9C54-4B69-B170-4ED8425F94E1}">
      <formula1>Tipos</formula1>
    </dataValidation>
    <dataValidation type="date" allowBlank="1" showInputMessage="1" showErrorMessage="1" sqref="B11:B15 B20:B23 B28:B32 B4:B6" xr:uid="{65AF9FDE-76A2-48DE-B07D-71ABAAA85D19}">
      <formula1>43831</formula1>
      <formula2>73415</formula2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OcultarGraficos">
                <anchor moveWithCells="1">
                  <from>
                    <xdr:col>14</xdr:col>
                    <xdr:colOff>9525</xdr:colOff>
                    <xdr:row>3</xdr:row>
                    <xdr:rowOff>180975</xdr:rowOff>
                  </from>
                  <to>
                    <xdr:col>20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ExibirGraficos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19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7DCB7A8-E66F-4F59-8509-74E4E34DF13C}">
            <xm:f>NOT(ISERROR(SEARCH('Tipos de Gastos'!$K$1,D3)))</xm:f>
            <xm:f>'Tipos de Gastos'!$K$1</xm:f>
            <x14:dxf>
              <fill>
                <patternFill>
                  <bgColor rgb="FFDAADA6"/>
                </patternFill>
              </fill>
            </x14:dxf>
          </x14:cfRule>
          <x14:cfRule type="containsText" priority="6" operator="containsText" id="{2F25B5B2-9156-4732-8A47-4A36A3A21C8B}">
            <xm:f>NOT(ISERROR(SEARCH('Tipos de Gastos'!$J$1,D3)))</xm:f>
            <xm:f>'Tipos de Gastos'!$J$1</xm:f>
            <x14:dxf>
              <fill>
                <patternFill>
                  <bgColor rgb="FFB2B2B2"/>
                </patternFill>
              </fill>
            </x14:dxf>
          </x14:cfRule>
          <x14:cfRule type="containsText" priority="7" operator="containsText" id="{2E261FB0-D300-44C5-A92E-BEFD1418E161}">
            <xm:f>NOT(ISERROR(SEARCH('Tipos de Gastos'!$I$1,D3)))</xm:f>
            <xm:f>'Tipos de Gastos'!$I$1</xm:f>
            <x14:dxf>
              <fill>
                <patternFill>
                  <bgColor rgb="FF00FF99"/>
                </patternFill>
              </fill>
            </x14:dxf>
          </x14:cfRule>
          <x14:cfRule type="containsText" priority="8" operator="containsText" id="{3865173C-47E3-43E8-B664-33F98AA10F84}">
            <xm:f>NOT(ISERROR(SEARCH('Tipos de Gastos'!$H$1,D3)))</xm:f>
            <xm:f>'Tipos de Gastos'!$H$1</xm:f>
            <x14:dxf>
              <fill>
                <patternFill>
                  <bgColor rgb="FFCC99FF"/>
                </patternFill>
              </fill>
            </x14:dxf>
          </x14:cfRule>
          <x14:cfRule type="containsText" priority="9" operator="containsText" id="{4B81F65A-42F6-4E2A-8D16-FB3DB62FE0FC}">
            <xm:f>NOT(ISERROR(SEARCH('Tipos de Gastos'!$G$1,D3)))</xm:f>
            <xm:f>'Tipos de Gastos'!$G$1</xm:f>
            <x14:dxf>
              <fill>
                <patternFill>
                  <bgColor rgb="FF66FFCC"/>
                </patternFill>
              </fill>
            </x14:dxf>
          </x14:cfRule>
          <x14:cfRule type="containsText" priority="10" operator="containsText" id="{598ADD5E-5F7F-45BD-AB10-1F2D90D820F5}">
            <xm:f>NOT(ISERROR(SEARCH('Tipos de Gastos'!$F$1,D3)))</xm:f>
            <xm:f>'Tipos de Gastos'!$F$1</xm:f>
            <x14:dxf>
              <fill>
                <patternFill>
                  <bgColor rgb="FF66FF66"/>
                </patternFill>
              </fill>
            </x14:dxf>
          </x14:cfRule>
          <x14:cfRule type="containsText" priority="11" operator="containsText" id="{775F9310-9875-4EE1-B69F-295EDECA65E0}">
            <xm:f>NOT(ISERROR(SEARCH('Tipos de Gastos'!$E$1,D3)))</xm:f>
            <xm:f>'Tipos de Gastos'!$E$1</xm:f>
            <x14:dxf>
              <fill>
                <patternFill>
                  <bgColor rgb="FFCCFF33"/>
                </patternFill>
              </fill>
            </x14:dxf>
          </x14:cfRule>
          <x14:cfRule type="containsText" priority="12" operator="containsText" id="{A0C37A4F-7510-4C5F-8C73-BC8181C9172A}">
            <xm:f>NOT(ISERROR(SEARCH('Tipos de Gastos'!$D$1,D3)))</xm:f>
            <xm:f>'Tipos de Gastos'!$D$1</xm:f>
            <x14:dxf>
              <fill>
                <patternFill>
                  <bgColor rgb="FFFF7C80"/>
                </patternFill>
              </fill>
            </x14:dxf>
          </x14:cfRule>
          <x14:cfRule type="containsText" priority="13" operator="containsText" id="{C3C40783-C326-4BAE-8BCD-16D17A80D8CA}">
            <xm:f>NOT(ISERROR(SEARCH('Tipos de Gastos'!$C$1,D3)))</xm:f>
            <xm:f>'Tipos de Gastos'!$C$1</xm:f>
            <x14:dxf>
              <fill>
                <patternFill>
                  <bgColor rgb="FFFFCC66"/>
                </patternFill>
              </fill>
            </x14:dxf>
          </x14:cfRule>
          <x14:cfRule type="containsText" priority="14" operator="containsText" id="{DEC66E59-504B-4790-AD08-B8B0DB97E50E}">
            <xm:f>NOT(ISERROR(SEARCH('Tipos de Gastos'!$B$1,D3)))</xm:f>
            <xm:f>'Tipos de Gastos'!$B$1</xm:f>
            <x14:dxf>
              <fill>
                <patternFill>
                  <bgColor rgb="FFFFFF66"/>
                </patternFill>
              </fill>
            </x14:dxf>
          </x14:cfRule>
          <x14:cfRule type="containsText" priority="15" operator="containsText" id="{7C86FEDA-AB0B-494F-9C89-409499230BE8}">
            <xm:f>NOT(ISERROR(SEARCH('Tipos de Gastos'!$A$1,D3)))</xm:f>
            <xm:f>'Tipos de Gastos'!$A$1</xm:f>
            <x14:dxf>
              <fill>
                <patternFill patternType="solid">
                  <bgColor rgb="FFCC99FF"/>
                </patternFill>
              </fill>
            </x14:dxf>
          </x14:cfRule>
          <xm:sqref>D3 D7:D34 E37:E41 D42:D1048576</xm:sqref>
        </x14:conditionalFormatting>
        <x14:conditionalFormatting xmlns:xm="http://schemas.microsoft.com/office/excel/2006/main">
          <x14:cfRule type="containsText" priority="3" operator="containsText" id="{261FAF98-6D13-43FD-A6B8-73E6E9578ADA}">
            <xm:f>NOT(ISERROR(SEARCH('Variáveis de Seleção'!$A$2,B2)))</xm:f>
            <xm:f>'Variáveis de Seleção'!$A$2</xm:f>
            <x14:dxf>
              <font>
                <u val="double"/>
              </font>
              <fill>
                <patternFill>
                  <bgColor rgb="FF92D050"/>
                </patternFill>
              </fill>
            </x14:dxf>
          </x14:cfRule>
          <xm:sqref>E36:E41 C2 F2 B3:F3 B4:C6 E4:F6 B7:F34 B35:C41 F35:F41 B42:F1048576</xm:sqref>
        </x14:conditionalFormatting>
        <x14:conditionalFormatting xmlns:xm="http://schemas.microsoft.com/office/excel/2006/main">
          <x14:cfRule type="containsText" priority="4" operator="containsText" id="{389F5F81-A714-450B-9987-F54ED31E71E0}">
            <xm:f>NOT(ISERROR(SEARCH('Variáveis de Seleção'!$A$3,F2)))</xm:f>
            <xm:f>'Variáveis de Seleção'!$A$3</xm:f>
            <x14:dxf>
              <font>
                <b val="0"/>
                <i val="0"/>
                <u val="double"/>
                <color auto="1"/>
              </font>
              <fill>
                <patternFill patternType="solid">
                  <bgColor rgb="FFFFFF00"/>
                </patternFill>
              </fill>
            </x14:dxf>
          </x14:cfRule>
          <xm:sqref>F2:F1048576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2DE1B5-C41B-499D-A6D5-557A64BD787C}">
          <x14:formula1>
            <xm:f>'Variáveis de Seleção'!$A$2:$A$3</xm:f>
          </x14:formula1>
          <xm:sqref>F11:F15 F20:F23 F28:F32 F4:F6</xm:sqref>
        </x14:dataValidation>
        <x14:dataValidation type="list" allowBlank="1" showInputMessage="1" showErrorMessage="1" xr:uid="{72EB440F-5F54-47F7-B528-BE5EBF722F12}">
          <x14:formula1>
            <xm:f>'Variáveis de Seleção'!$B$2:$B$4</xm:f>
          </x14:formula1>
          <xm:sqref>D4:D6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2831C-7BEA-46B4-B360-45E9F081BAD5}">
  <sheetPr codeName="Planilha9"/>
  <dimension ref="A1:G42"/>
  <sheetViews>
    <sheetView showGridLines="0" topLeftCell="A4" zoomScaleNormal="100" workbookViewId="0">
      <selection activeCell="E12" sqref="E12"/>
    </sheetView>
  </sheetViews>
  <sheetFormatPr defaultRowHeight="15" x14ac:dyDescent="0.25"/>
  <cols>
    <col min="1" max="1" width="3.5703125" customWidth="1"/>
    <col min="2" max="2" width="10.7109375" customWidth="1"/>
    <col min="3" max="3" width="22.140625" customWidth="1"/>
    <col min="4" max="4" width="20.28515625" customWidth="1"/>
    <col min="5" max="5" width="12.140625" bestFit="1" customWidth="1"/>
    <col min="7" max="7" width="3.5703125" customWidth="1"/>
  </cols>
  <sheetData>
    <row r="1" spans="1:7" x14ac:dyDescent="0.25">
      <c r="A1" s="45" t="s">
        <v>95</v>
      </c>
      <c r="B1" s="45"/>
      <c r="C1" s="45"/>
      <c r="D1" s="45"/>
      <c r="E1" s="45"/>
      <c r="F1" s="45"/>
      <c r="G1" s="45"/>
    </row>
    <row r="2" spans="1:7" x14ac:dyDescent="0.25">
      <c r="A2" s="2"/>
      <c r="B2" s="11"/>
      <c r="C2" s="42" t="s">
        <v>72</v>
      </c>
      <c r="D2" s="42"/>
      <c r="E2" s="42"/>
      <c r="F2" s="12"/>
      <c r="G2" s="3"/>
    </row>
    <row r="3" spans="1:7" x14ac:dyDescent="0.25">
      <c r="A3" s="4"/>
      <c r="B3" s="11"/>
      <c r="C3" t="s">
        <v>51</v>
      </c>
      <c r="D3" t="s">
        <v>52</v>
      </c>
      <c r="E3" t="s">
        <v>53</v>
      </c>
      <c r="F3" s="11"/>
      <c r="G3" s="5"/>
    </row>
    <row r="4" spans="1:7" x14ac:dyDescent="0.25">
      <c r="A4" s="4"/>
      <c r="B4" s="14"/>
      <c r="C4" s="8" t="s">
        <v>76</v>
      </c>
      <c r="D4" s="8" t="s">
        <v>79</v>
      </c>
      <c r="E4" s="10"/>
      <c r="F4" s="11"/>
      <c r="G4" s="5"/>
    </row>
    <row r="5" spans="1:7" x14ac:dyDescent="0.25">
      <c r="A5" s="4"/>
      <c r="B5" s="14"/>
      <c r="C5" s="8" t="s">
        <v>77</v>
      </c>
      <c r="D5" s="8" t="s">
        <v>74</v>
      </c>
      <c r="E5" s="10"/>
      <c r="F5" s="11"/>
      <c r="G5" s="5"/>
    </row>
    <row r="6" spans="1:7" x14ac:dyDescent="0.25">
      <c r="A6" s="4"/>
      <c r="B6" s="14"/>
      <c r="C6" s="8" t="s">
        <v>78</v>
      </c>
      <c r="D6" s="8" t="s">
        <v>75</v>
      </c>
      <c r="E6" s="10"/>
      <c r="F6" s="11"/>
      <c r="G6" s="5"/>
    </row>
    <row r="7" spans="1:7" x14ac:dyDescent="0.25">
      <c r="A7" s="4"/>
      <c r="B7" s="14"/>
      <c r="C7" s="8"/>
      <c r="D7" s="8" t="s">
        <v>59</v>
      </c>
      <c r="E7" s="10">
        <f>SUM(Entrada11191196201206[Valor])</f>
        <v>0</v>
      </c>
      <c r="F7" s="11"/>
      <c r="G7" s="5"/>
    </row>
    <row r="8" spans="1:7" x14ac:dyDescent="0.25">
      <c r="A8" s="6"/>
      <c r="B8" s="13"/>
      <c r="C8" s="13"/>
      <c r="D8" s="13"/>
      <c r="E8" s="13"/>
      <c r="F8" s="13"/>
      <c r="G8" s="7"/>
    </row>
    <row r="9" spans="1:7" ht="18.75" customHeight="1" x14ac:dyDescent="0.25">
      <c r="A9" s="2"/>
      <c r="B9" s="42" t="s">
        <v>49</v>
      </c>
      <c r="C9" s="42"/>
      <c r="D9" s="42"/>
      <c r="E9" s="42"/>
      <c r="F9" s="42"/>
      <c r="G9" s="3"/>
    </row>
    <row r="10" spans="1:7" x14ac:dyDescent="0.25">
      <c r="A10" s="4"/>
      <c r="B10" t="s">
        <v>50</v>
      </c>
      <c r="C10" t="s">
        <v>51</v>
      </c>
      <c r="D10" t="s">
        <v>52</v>
      </c>
      <c r="E10" t="s">
        <v>53</v>
      </c>
      <c r="F10" t="s">
        <v>54</v>
      </c>
      <c r="G10" s="5"/>
    </row>
    <row r="11" spans="1:7" x14ac:dyDescent="0.25">
      <c r="A11" s="4"/>
      <c r="B11" s="9">
        <v>45453</v>
      </c>
      <c r="C11" s="8"/>
      <c r="D11" s="8"/>
      <c r="E11" s="10"/>
      <c r="G11" s="5"/>
    </row>
    <row r="12" spans="1:7" x14ac:dyDescent="0.25">
      <c r="A12" s="4"/>
      <c r="B12" s="9">
        <v>45453</v>
      </c>
      <c r="C12" s="8"/>
      <c r="D12" s="8"/>
      <c r="E12" s="10"/>
      <c r="G12" s="5"/>
    </row>
    <row r="13" spans="1:7" x14ac:dyDescent="0.25">
      <c r="A13" s="4"/>
      <c r="B13" s="9">
        <v>45458</v>
      </c>
      <c r="C13" s="8"/>
      <c r="D13" s="8"/>
      <c r="E13" s="10"/>
      <c r="G13" s="5"/>
    </row>
    <row r="14" spans="1:7" x14ac:dyDescent="0.25">
      <c r="A14" s="4"/>
      <c r="B14" s="9">
        <v>45463</v>
      </c>
      <c r="C14" s="8"/>
      <c r="D14" s="8"/>
      <c r="E14" s="10"/>
      <c r="G14" s="5"/>
    </row>
    <row r="15" spans="1:7" x14ac:dyDescent="0.25">
      <c r="A15" s="4"/>
      <c r="B15" s="9">
        <v>45451</v>
      </c>
      <c r="C15" s="8"/>
      <c r="D15" s="8"/>
      <c r="E15" s="10"/>
      <c r="G15" s="5"/>
    </row>
    <row r="16" spans="1:7" ht="18.75" customHeight="1" x14ac:dyDescent="0.25">
      <c r="A16" s="4"/>
      <c r="B16" s="9"/>
      <c r="C16" s="8" t="s">
        <v>64</v>
      </c>
      <c r="D16" s="8" t="s">
        <v>59</v>
      </c>
      <c r="E16" s="10">
        <f>SUM(GastosFixos7188193198203[[#All],[Valor]])</f>
        <v>0</v>
      </c>
      <c r="F16" t="str">
        <f>_xlfn.IFNA(VLOOKUP("Não",GastosFixos7188193198203[Pago?],1,FALSE),"Sim")</f>
        <v>Sim</v>
      </c>
      <c r="G16" s="5"/>
    </row>
    <row r="17" spans="1:7" ht="18.75" customHeight="1" x14ac:dyDescent="0.25">
      <c r="A17" s="6"/>
      <c r="B17" s="44"/>
      <c r="C17" s="44"/>
      <c r="D17" s="44"/>
      <c r="E17" s="44"/>
      <c r="F17" s="44"/>
      <c r="G17" s="7"/>
    </row>
    <row r="18" spans="1:7" ht="18.75" customHeight="1" x14ac:dyDescent="0.25">
      <c r="A18" s="2"/>
      <c r="B18" s="42" t="s">
        <v>63</v>
      </c>
      <c r="C18" s="42"/>
      <c r="D18" s="42"/>
      <c r="E18" s="42"/>
      <c r="F18" s="42"/>
      <c r="G18" s="3"/>
    </row>
    <row r="19" spans="1:7" x14ac:dyDescent="0.25">
      <c r="A19" s="4"/>
      <c r="B19" t="s">
        <v>50</v>
      </c>
      <c r="C19" t="s">
        <v>51</v>
      </c>
      <c r="D19" t="s">
        <v>52</v>
      </c>
      <c r="E19" t="s">
        <v>53</v>
      </c>
      <c r="F19" t="s">
        <v>54</v>
      </c>
      <c r="G19" s="5"/>
    </row>
    <row r="20" spans="1:7" x14ac:dyDescent="0.25">
      <c r="A20" s="4"/>
      <c r="B20" s="9">
        <f t="shared" ref="B20" ca="1" si="0">TODAY()</f>
        <v>45475</v>
      </c>
      <c r="C20" s="8"/>
      <c r="D20" s="8"/>
      <c r="E20" s="10"/>
      <c r="G20" s="5"/>
    </row>
    <row r="21" spans="1:7" x14ac:dyDescent="0.25">
      <c r="A21" s="4"/>
      <c r="B21" s="9">
        <f ca="1">TODAY()</f>
        <v>45475</v>
      </c>
      <c r="C21" s="8"/>
      <c r="D21" s="8"/>
      <c r="E21" s="10"/>
      <c r="G21" s="5"/>
    </row>
    <row r="22" spans="1:7" x14ac:dyDescent="0.25">
      <c r="A22" s="4"/>
      <c r="B22" s="9">
        <f t="shared" ref="B22:B23" ca="1" si="1">TODAY()</f>
        <v>45475</v>
      </c>
      <c r="C22" s="8"/>
      <c r="D22" s="8"/>
      <c r="E22" s="10"/>
      <c r="G22" s="5"/>
    </row>
    <row r="23" spans="1:7" x14ac:dyDescent="0.25">
      <c r="A23" s="4"/>
      <c r="B23" s="9">
        <f t="shared" ca="1" si="1"/>
        <v>45475</v>
      </c>
      <c r="C23" s="8"/>
      <c r="D23" s="8"/>
      <c r="E23" s="10"/>
      <c r="G23" s="5"/>
    </row>
    <row r="24" spans="1:7" x14ac:dyDescent="0.25">
      <c r="A24" s="4"/>
      <c r="B24" s="9"/>
      <c r="C24" s="8" t="s">
        <v>65</v>
      </c>
      <c r="D24" s="8" t="s">
        <v>59</v>
      </c>
      <c r="E24" s="10">
        <f>SUM(GastosVariadosEssenciais9189194199204[[#All],[Valor]])</f>
        <v>0</v>
      </c>
      <c r="F24" t="str">
        <f>_xlfn.IFNA(VLOOKUP("Não",GastosVariadosEssenciais9189194199204[Pago?],1,FALSE),"Sim")</f>
        <v>Sim</v>
      </c>
      <c r="G24" s="5"/>
    </row>
    <row r="25" spans="1:7" x14ac:dyDescent="0.25">
      <c r="A25" s="6"/>
      <c r="B25" s="44"/>
      <c r="C25" s="44"/>
      <c r="D25" s="44"/>
      <c r="E25" s="44"/>
      <c r="F25" s="44"/>
      <c r="G25" s="7"/>
    </row>
    <row r="26" spans="1:7" x14ac:dyDescent="0.25">
      <c r="A26" s="2"/>
      <c r="B26" s="42" t="s">
        <v>67</v>
      </c>
      <c r="C26" s="42"/>
      <c r="D26" s="42"/>
      <c r="E26" s="42"/>
      <c r="F26" s="42"/>
      <c r="G26" s="3"/>
    </row>
    <row r="27" spans="1:7" x14ac:dyDescent="0.25">
      <c r="A27" s="4"/>
      <c r="B27" t="s">
        <v>50</v>
      </c>
      <c r="C27" t="s">
        <v>51</v>
      </c>
      <c r="D27" t="s">
        <v>52</v>
      </c>
      <c r="E27" t="s">
        <v>53</v>
      </c>
      <c r="F27" t="s">
        <v>54</v>
      </c>
      <c r="G27" s="5"/>
    </row>
    <row r="28" spans="1:7" x14ac:dyDescent="0.25">
      <c r="A28" s="4"/>
      <c r="B28" s="9">
        <v>45463</v>
      </c>
      <c r="C28" s="8"/>
      <c r="D28" s="8"/>
      <c r="E28" s="10"/>
      <c r="G28" s="5"/>
    </row>
    <row r="29" spans="1:7" x14ac:dyDescent="0.25">
      <c r="A29" s="4"/>
      <c r="B29" s="9">
        <v>45463</v>
      </c>
      <c r="C29" s="8"/>
      <c r="D29" s="8"/>
      <c r="E29" s="10"/>
      <c r="G29" s="5"/>
    </row>
    <row r="30" spans="1:7" x14ac:dyDescent="0.25">
      <c r="A30" s="4"/>
      <c r="B30" s="9">
        <v>45463</v>
      </c>
      <c r="C30" s="8"/>
      <c r="D30" s="8"/>
      <c r="E30" s="10"/>
      <c r="G30" s="5"/>
    </row>
    <row r="31" spans="1:7" x14ac:dyDescent="0.25">
      <c r="A31" s="4"/>
      <c r="B31" s="9">
        <v>45468</v>
      </c>
      <c r="C31" s="8"/>
      <c r="D31" s="8"/>
      <c r="E31" s="10"/>
      <c r="G31" s="5"/>
    </row>
    <row r="32" spans="1:7" x14ac:dyDescent="0.25">
      <c r="A32" s="4"/>
      <c r="B32" s="9">
        <v>45463</v>
      </c>
      <c r="C32" s="8"/>
      <c r="D32" s="8"/>
      <c r="E32" s="10"/>
      <c r="G32" s="5"/>
    </row>
    <row r="33" spans="1:7" x14ac:dyDescent="0.25">
      <c r="A33" s="4"/>
      <c r="B33" s="9"/>
      <c r="C33" s="8" t="s">
        <v>71</v>
      </c>
      <c r="D33" s="8" t="s">
        <v>59</v>
      </c>
      <c r="E33" s="10">
        <f>SUM(GastosVariadosNãoEssenciais10190195200205[[#All],[Valor]])</f>
        <v>0</v>
      </c>
      <c r="F33" t="str">
        <f>_xlfn.IFNA(VLOOKUP("Não",GastosVariadosNãoEssenciais10190195200205[Pago?],1,FALSE),"Sim")</f>
        <v>Sim</v>
      </c>
      <c r="G33" s="5"/>
    </row>
    <row r="34" spans="1:7" x14ac:dyDescent="0.25">
      <c r="A34" s="4"/>
      <c r="B34" s="41"/>
      <c r="C34" s="41"/>
      <c r="D34" s="41"/>
      <c r="E34" s="41"/>
      <c r="F34" s="41"/>
      <c r="G34" s="5"/>
    </row>
    <row r="35" spans="1:7" x14ac:dyDescent="0.25">
      <c r="A35" s="2"/>
      <c r="B35" s="12"/>
      <c r="C35" s="42" t="s">
        <v>80</v>
      </c>
      <c r="D35" s="42"/>
      <c r="E35" s="42"/>
      <c r="F35" s="12"/>
      <c r="G35" s="3"/>
    </row>
    <row r="36" spans="1:7" x14ac:dyDescent="0.25">
      <c r="A36" s="4"/>
      <c r="B36" s="11"/>
      <c r="C36" t="s">
        <v>81</v>
      </c>
      <c r="D36" t="s">
        <v>84</v>
      </c>
      <c r="E36" t="s">
        <v>53</v>
      </c>
      <c r="F36" s="11"/>
      <c r="G36" s="5"/>
    </row>
    <row r="37" spans="1:7" x14ac:dyDescent="0.25">
      <c r="A37" s="4"/>
      <c r="B37" s="11"/>
      <c r="C37" s="15" t="s">
        <v>82</v>
      </c>
      <c r="D37" s="15"/>
      <c r="E37" s="15">
        <f>RendaTotal</f>
        <v>0</v>
      </c>
      <c r="F37" s="11"/>
      <c r="G37" s="5"/>
    </row>
    <row r="38" spans="1:7" x14ac:dyDescent="0.25">
      <c r="A38" s="4"/>
      <c r="B38" s="11"/>
      <c r="C38" s="16" t="s">
        <v>64</v>
      </c>
      <c r="D38" s="16"/>
      <c r="E38" s="16">
        <f>FixosTotais</f>
        <v>0</v>
      </c>
      <c r="F38" s="11"/>
      <c r="G38" s="5"/>
    </row>
    <row r="39" spans="1:7" x14ac:dyDescent="0.25">
      <c r="A39" s="4"/>
      <c r="B39" s="11"/>
      <c r="C39" s="16" t="s">
        <v>86</v>
      </c>
      <c r="D39" s="16"/>
      <c r="E39" s="16">
        <f>EssenciaisTotais</f>
        <v>0</v>
      </c>
      <c r="F39" s="11"/>
      <c r="G39" s="5"/>
    </row>
    <row r="40" spans="1:7" x14ac:dyDescent="0.25">
      <c r="A40" s="4"/>
      <c r="B40" s="11"/>
      <c r="C40" s="17" t="s">
        <v>87</v>
      </c>
      <c r="D40" s="17"/>
      <c r="E40" s="17">
        <f>NãoEssenciaisTotais</f>
        <v>0</v>
      </c>
      <c r="F40" s="11"/>
      <c r="G40" s="5"/>
    </row>
    <row r="41" spans="1:7" x14ac:dyDescent="0.25">
      <c r="A41" s="4"/>
      <c r="B41" s="11"/>
      <c r="C41" s="10" t="s">
        <v>83</v>
      </c>
      <c r="D41" s="10"/>
      <c r="E41" s="10">
        <f>E37-SUM(E38:E40)</f>
        <v>0</v>
      </c>
      <c r="F41" s="11"/>
      <c r="G41" s="5"/>
    </row>
    <row r="42" spans="1:7" x14ac:dyDescent="0.25">
      <c r="A42" s="6"/>
      <c r="B42" s="13"/>
      <c r="C42" s="13"/>
      <c r="D42" s="13"/>
      <c r="E42" s="13"/>
      <c r="F42" s="13"/>
      <c r="G42" s="7"/>
    </row>
  </sheetData>
  <dataConsolidate/>
  <mergeCells count="9">
    <mergeCell ref="B26:F26"/>
    <mergeCell ref="B34:F34"/>
    <mergeCell ref="C35:E35"/>
    <mergeCell ref="A1:G1"/>
    <mergeCell ref="C2:E2"/>
    <mergeCell ref="B9:F9"/>
    <mergeCell ref="B17:F17"/>
    <mergeCell ref="B18:F18"/>
    <mergeCell ref="B25:F25"/>
  </mergeCells>
  <conditionalFormatting sqref="E41">
    <cfRule type="cellIs" dxfId="264" priority="1" operator="lessThanOrEqual">
      <formula>0</formula>
    </cfRule>
    <cfRule type="cellIs" dxfId="263" priority="2" operator="between">
      <formula>100</formula>
      <formula>0</formula>
    </cfRule>
  </conditionalFormatting>
  <dataValidations count="2">
    <dataValidation type="date" allowBlank="1" showInputMessage="1" showErrorMessage="1" sqref="B11:B15 B20:B23 B28:B32 B4:B6" xr:uid="{E5BDEA0B-3670-44AB-A127-FF99931F85E3}">
      <formula1>43831</formula1>
      <formula2>73415</formula2>
    </dataValidation>
    <dataValidation type="list" allowBlank="1" showInputMessage="1" showErrorMessage="1" sqref="D11:D15 D20:D23 D28:D32" xr:uid="{3EA3C4F4-A308-4039-9A92-D55203F2403B}">
      <formula1>Tipos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OcultarGraficos">
                <anchor moveWithCells="1">
                  <from>
                    <xdr:col>14</xdr:col>
                    <xdr:colOff>9525</xdr:colOff>
                    <xdr:row>3</xdr:row>
                    <xdr:rowOff>180975</xdr:rowOff>
                  </from>
                  <to>
                    <xdr:col>20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ExibirGraficos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19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14409C06-DC2E-4D01-932D-12816A4409E9}">
            <xm:f>NOT(ISERROR(SEARCH('Tipos de Gastos'!$K$1,D3)))</xm:f>
            <xm:f>'Tipos de Gastos'!$K$1</xm:f>
            <x14:dxf>
              <fill>
                <patternFill>
                  <bgColor rgb="FFDAADA6"/>
                </patternFill>
              </fill>
            </x14:dxf>
          </x14:cfRule>
          <x14:cfRule type="containsText" priority="6" operator="containsText" id="{FEAD116D-A372-41AD-9191-ABBD9BC56D8D}">
            <xm:f>NOT(ISERROR(SEARCH('Tipos de Gastos'!$J$1,D3)))</xm:f>
            <xm:f>'Tipos de Gastos'!$J$1</xm:f>
            <x14:dxf>
              <fill>
                <patternFill>
                  <bgColor rgb="FFB2B2B2"/>
                </patternFill>
              </fill>
            </x14:dxf>
          </x14:cfRule>
          <x14:cfRule type="containsText" priority="7" operator="containsText" id="{EAB7C310-CCA4-4C3C-8C48-9C42332C721E}">
            <xm:f>NOT(ISERROR(SEARCH('Tipos de Gastos'!$I$1,D3)))</xm:f>
            <xm:f>'Tipos de Gastos'!$I$1</xm:f>
            <x14:dxf>
              <fill>
                <patternFill>
                  <bgColor rgb="FF00FF99"/>
                </patternFill>
              </fill>
            </x14:dxf>
          </x14:cfRule>
          <x14:cfRule type="containsText" priority="8" operator="containsText" id="{5EE1FD3E-C81E-4DB6-BB37-A66481268D93}">
            <xm:f>NOT(ISERROR(SEARCH('Tipos de Gastos'!$H$1,D3)))</xm:f>
            <xm:f>'Tipos de Gastos'!$H$1</xm:f>
            <x14:dxf>
              <fill>
                <patternFill>
                  <bgColor rgb="FFCC99FF"/>
                </patternFill>
              </fill>
            </x14:dxf>
          </x14:cfRule>
          <x14:cfRule type="containsText" priority="9" operator="containsText" id="{F7C92971-4FF3-42EA-B75A-361ED5539332}">
            <xm:f>NOT(ISERROR(SEARCH('Tipos de Gastos'!$G$1,D3)))</xm:f>
            <xm:f>'Tipos de Gastos'!$G$1</xm:f>
            <x14:dxf>
              <fill>
                <patternFill>
                  <bgColor rgb="FF66FFCC"/>
                </patternFill>
              </fill>
            </x14:dxf>
          </x14:cfRule>
          <x14:cfRule type="containsText" priority="10" operator="containsText" id="{B1D72B8B-DDF4-4E2C-B4D5-48A4FD95655C}">
            <xm:f>NOT(ISERROR(SEARCH('Tipos de Gastos'!$F$1,D3)))</xm:f>
            <xm:f>'Tipos de Gastos'!$F$1</xm:f>
            <x14:dxf>
              <fill>
                <patternFill>
                  <bgColor rgb="FF66FF66"/>
                </patternFill>
              </fill>
            </x14:dxf>
          </x14:cfRule>
          <x14:cfRule type="containsText" priority="11" operator="containsText" id="{F32079A4-5FCA-4A6E-9482-799E3817A918}">
            <xm:f>NOT(ISERROR(SEARCH('Tipos de Gastos'!$E$1,D3)))</xm:f>
            <xm:f>'Tipos de Gastos'!$E$1</xm:f>
            <x14:dxf>
              <fill>
                <patternFill>
                  <bgColor rgb="FFCCFF33"/>
                </patternFill>
              </fill>
            </x14:dxf>
          </x14:cfRule>
          <x14:cfRule type="containsText" priority="12" operator="containsText" id="{DA800024-CA70-42F9-AC39-8A8B0AF4EB32}">
            <xm:f>NOT(ISERROR(SEARCH('Tipos de Gastos'!$D$1,D3)))</xm:f>
            <xm:f>'Tipos de Gastos'!$D$1</xm:f>
            <x14:dxf>
              <fill>
                <patternFill>
                  <bgColor rgb="FFFF7C80"/>
                </patternFill>
              </fill>
            </x14:dxf>
          </x14:cfRule>
          <x14:cfRule type="containsText" priority="13" operator="containsText" id="{F8CD7A42-82D0-480D-AE82-FDE8B6828F23}">
            <xm:f>NOT(ISERROR(SEARCH('Tipos de Gastos'!$C$1,D3)))</xm:f>
            <xm:f>'Tipos de Gastos'!$C$1</xm:f>
            <x14:dxf>
              <fill>
                <patternFill>
                  <bgColor rgb="FFFFCC66"/>
                </patternFill>
              </fill>
            </x14:dxf>
          </x14:cfRule>
          <x14:cfRule type="containsText" priority="14" operator="containsText" id="{8ECEC106-9BEC-491E-9EC1-E10ED35912B5}">
            <xm:f>NOT(ISERROR(SEARCH('Tipos de Gastos'!$B$1,D3)))</xm:f>
            <xm:f>'Tipos de Gastos'!$B$1</xm:f>
            <x14:dxf>
              <fill>
                <patternFill>
                  <bgColor rgb="FFFFFF66"/>
                </patternFill>
              </fill>
            </x14:dxf>
          </x14:cfRule>
          <x14:cfRule type="containsText" priority="15" operator="containsText" id="{B5EF76D4-C1C6-4C24-A3A2-89E77C3EE76C}">
            <xm:f>NOT(ISERROR(SEARCH('Tipos de Gastos'!$A$1,D3)))</xm:f>
            <xm:f>'Tipos de Gastos'!$A$1</xm:f>
            <x14:dxf>
              <fill>
                <patternFill patternType="solid">
                  <bgColor rgb="FFCC99FF"/>
                </patternFill>
              </fill>
            </x14:dxf>
          </x14:cfRule>
          <xm:sqref>D3 D7:D34 E37:E41 D42:D1048576</xm:sqref>
        </x14:conditionalFormatting>
        <x14:conditionalFormatting xmlns:xm="http://schemas.microsoft.com/office/excel/2006/main">
          <x14:cfRule type="containsText" priority="3" operator="containsText" id="{400C4A25-521D-46A0-B8F6-51085A502C3E}">
            <xm:f>NOT(ISERROR(SEARCH('Variáveis de Seleção'!$A$2,B2)))</xm:f>
            <xm:f>'Variáveis de Seleção'!$A$2</xm:f>
            <x14:dxf>
              <font>
                <u val="double"/>
              </font>
              <fill>
                <patternFill>
                  <bgColor rgb="FF92D050"/>
                </patternFill>
              </fill>
            </x14:dxf>
          </x14:cfRule>
          <xm:sqref>E36:E41 C2 F2 B3:F3 B4:C6 E4:F6 B7:F34 B35:C41 F35:F41 B42:F1048576</xm:sqref>
        </x14:conditionalFormatting>
        <x14:conditionalFormatting xmlns:xm="http://schemas.microsoft.com/office/excel/2006/main">
          <x14:cfRule type="containsText" priority="4" operator="containsText" id="{4486C1B1-DAF0-4E5D-B574-7D7EB6C5AB04}">
            <xm:f>NOT(ISERROR(SEARCH('Variáveis de Seleção'!$A$3,F2)))</xm:f>
            <xm:f>'Variáveis de Seleção'!$A$3</xm:f>
            <x14:dxf>
              <font>
                <b val="0"/>
                <i val="0"/>
                <u val="double"/>
                <color auto="1"/>
              </font>
              <fill>
                <patternFill patternType="solid">
                  <bgColor rgb="FFFFFF00"/>
                </patternFill>
              </fill>
            </x14:dxf>
          </x14:cfRule>
          <xm:sqref>F2:F1048576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D5D6E4B-7F36-4689-B8D1-27907443AAF3}">
          <x14:formula1>
            <xm:f>'Variáveis de Seleção'!$B$2:$B$4</xm:f>
          </x14:formula1>
          <xm:sqref>D4:D6</xm:sqref>
        </x14:dataValidation>
        <x14:dataValidation type="list" allowBlank="1" showInputMessage="1" showErrorMessage="1" xr:uid="{C902A522-EBE2-475D-84CB-E2E2D6182413}">
          <x14:formula1>
            <xm:f>'Variáveis de Seleção'!$A$2:$A$3</xm:f>
          </x14:formula1>
          <xm:sqref>F11:F15 F20:F23 F28:F32 F4:F6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60EAD-B591-44BB-80D5-58F9D547A056}">
  <sheetPr codeName="Planilha11"/>
  <dimension ref="A1:G42"/>
  <sheetViews>
    <sheetView showGridLines="0" topLeftCell="A7" zoomScaleNormal="100" workbookViewId="0">
      <selection activeCell="E12" sqref="E12"/>
    </sheetView>
  </sheetViews>
  <sheetFormatPr defaultRowHeight="15" x14ac:dyDescent="0.25"/>
  <cols>
    <col min="1" max="1" width="3.5703125" customWidth="1"/>
    <col min="2" max="2" width="10.7109375" customWidth="1"/>
    <col min="3" max="3" width="22.140625" customWidth="1"/>
    <col min="4" max="4" width="20.28515625" customWidth="1"/>
    <col min="5" max="5" width="12.140625" bestFit="1" customWidth="1"/>
    <col min="7" max="7" width="3.5703125" customWidth="1"/>
  </cols>
  <sheetData>
    <row r="1" spans="1:7" x14ac:dyDescent="0.25">
      <c r="A1" s="45" t="s">
        <v>98</v>
      </c>
      <c r="B1" s="45"/>
      <c r="C1" s="45"/>
      <c r="D1" s="45"/>
      <c r="E1" s="45"/>
      <c r="F1" s="45"/>
      <c r="G1" s="45"/>
    </row>
    <row r="2" spans="1:7" x14ac:dyDescent="0.25">
      <c r="A2" s="2"/>
      <c r="B2" s="11"/>
      <c r="C2" s="42" t="s">
        <v>72</v>
      </c>
      <c r="D2" s="42"/>
      <c r="E2" s="42"/>
      <c r="F2" s="12"/>
      <c r="G2" s="3"/>
    </row>
    <row r="3" spans="1:7" x14ac:dyDescent="0.25">
      <c r="A3" s="4"/>
      <c r="B3" s="11"/>
      <c r="C3" t="s">
        <v>51</v>
      </c>
      <c r="D3" t="s">
        <v>52</v>
      </c>
      <c r="E3" t="s">
        <v>53</v>
      </c>
      <c r="F3" s="11"/>
      <c r="G3" s="5"/>
    </row>
    <row r="4" spans="1:7" x14ac:dyDescent="0.25">
      <c r="A4" s="4"/>
      <c r="B4" s="14"/>
      <c r="C4" s="8" t="s">
        <v>76</v>
      </c>
      <c r="D4" s="8" t="s">
        <v>79</v>
      </c>
      <c r="E4" s="10"/>
      <c r="F4" s="11"/>
      <c r="G4" s="5"/>
    </row>
    <row r="5" spans="1:7" x14ac:dyDescent="0.25">
      <c r="A5" s="4"/>
      <c r="B5" s="14"/>
      <c r="C5" s="8" t="s">
        <v>77</v>
      </c>
      <c r="D5" s="8" t="s">
        <v>74</v>
      </c>
      <c r="E5" s="10"/>
      <c r="F5" s="11"/>
      <c r="G5" s="5"/>
    </row>
    <row r="6" spans="1:7" x14ac:dyDescent="0.25">
      <c r="A6" s="4"/>
      <c r="B6" s="14"/>
      <c r="C6" s="8" t="s">
        <v>78</v>
      </c>
      <c r="D6" s="8" t="s">
        <v>75</v>
      </c>
      <c r="E6" s="10"/>
      <c r="F6" s="11"/>
      <c r="G6" s="5"/>
    </row>
    <row r="7" spans="1:7" x14ac:dyDescent="0.25">
      <c r="A7" s="4"/>
      <c r="B7" s="14"/>
      <c r="C7" s="8"/>
      <c r="D7" s="8" t="s">
        <v>59</v>
      </c>
      <c r="E7" s="10">
        <f>SUM(Entrada11191196201206216[Valor])</f>
        <v>0</v>
      </c>
      <c r="F7" s="11"/>
      <c r="G7" s="5"/>
    </row>
    <row r="8" spans="1:7" x14ac:dyDescent="0.25">
      <c r="A8" s="6"/>
      <c r="B8" s="13"/>
      <c r="C8" s="13"/>
      <c r="D8" s="13"/>
      <c r="E8" s="13"/>
      <c r="F8" s="13"/>
      <c r="G8" s="7"/>
    </row>
    <row r="9" spans="1:7" ht="18.75" customHeight="1" x14ac:dyDescent="0.25">
      <c r="A9" s="2"/>
      <c r="B9" s="42" t="s">
        <v>49</v>
      </c>
      <c r="C9" s="42"/>
      <c r="D9" s="42"/>
      <c r="E9" s="42"/>
      <c r="F9" s="42"/>
      <c r="G9" s="3"/>
    </row>
    <row r="10" spans="1:7" x14ac:dyDescent="0.25">
      <c r="A10" s="4"/>
      <c r="B10" t="s">
        <v>50</v>
      </c>
      <c r="C10" t="s">
        <v>51</v>
      </c>
      <c r="D10" t="s">
        <v>52</v>
      </c>
      <c r="E10" t="s">
        <v>53</v>
      </c>
      <c r="F10" t="s">
        <v>54</v>
      </c>
      <c r="G10" s="5"/>
    </row>
    <row r="11" spans="1:7" x14ac:dyDescent="0.25">
      <c r="A11" s="4"/>
      <c r="B11" s="9">
        <v>45453</v>
      </c>
      <c r="C11" s="8"/>
      <c r="D11" s="8"/>
      <c r="E11" s="10"/>
      <c r="G11" s="5"/>
    </row>
    <row r="12" spans="1:7" x14ac:dyDescent="0.25">
      <c r="A12" s="4"/>
      <c r="B12" s="9">
        <v>45453</v>
      </c>
      <c r="C12" s="8"/>
      <c r="D12" s="8"/>
      <c r="E12" s="10"/>
      <c r="G12" s="5"/>
    </row>
    <row r="13" spans="1:7" x14ac:dyDescent="0.25">
      <c r="A13" s="4"/>
      <c r="B13" s="9">
        <v>45458</v>
      </c>
      <c r="C13" s="8"/>
      <c r="D13" s="8"/>
      <c r="E13" s="10"/>
      <c r="G13" s="5"/>
    </row>
    <row r="14" spans="1:7" x14ac:dyDescent="0.25">
      <c r="A14" s="4"/>
      <c r="B14" s="9">
        <v>45463</v>
      </c>
      <c r="C14" s="8"/>
      <c r="D14" s="8"/>
      <c r="E14" s="10"/>
      <c r="G14" s="5"/>
    </row>
    <row r="15" spans="1:7" x14ac:dyDescent="0.25">
      <c r="A15" s="4"/>
      <c r="B15" s="9">
        <v>45451</v>
      </c>
      <c r="C15" s="8"/>
      <c r="D15" s="8"/>
      <c r="E15" s="10"/>
      <c r="G15" s="5"/>
    </row>
    <row r="16" spans="1:7" ht="18.75" customHeight="1" x14ac:dyDescent="0.25">
      <c r="A16" s="4"/>
      <c r="B16" s="9"/>
      <c r="C16" s="8" t="s">
        <v>64</v>
      </c>
      <c r="D16" s="8" t="s">
        <v>59</v>
      </c>
      <c r="E16" s="10">
        <f>SUM(GastosFixos7188193198203213[[#All],[Valor]])</f>
        <v>0</v>
      </c>
      <c r="F16" t="str">
        <f>_xlfn.IFNA(VLOOKUP("Não",GastosFixos7188193198203213[Pago?],1,FALSE),"Sim")</f>
        <v>Sim</v>
      </c>
      <c r="G16" s="5"/>
    </row>
    <row r="17" spans="1:7" ht="18.75" customHeight="1" x14ac:dyDescent="0.25">
      <c r="A17" s="6"/>
      <c r="B17" s="44"/>
      <c r="C17" s="44"/>
      <c r="D17" s="44"/>
      <c r="E17" s="44"/>
      <c r="F17" s="44"/>
      <c r="G17" s="7"/>
    </row>
    <row r="18" spans="1:7" ht="18.75" customHeight="1" x14ac:dyDescent="0.25">
      <c r="A18" s="2"/>
      <c r="B18" s="42" t="s">
        <v>63</v>
      </c>
      <c r="C18" s="42"/>
      <c r="D18" s="42"/>
      <c r="E18" s="42"/>
      <c r="F18" s="42"/>
      <c r="G18" s="3"/>
    </row>
    <row r="19" spans="1:7" x14ac:dyDescent="0.25">
      <c r="A19" s="4"/>
      <c r="B19" t="s">
        <v>50</v>
      </c>
      <c r="C19" t="s">
        <v>51</v>
      </c>
      <c r="D19" t="s">
        <v>52</v>
      </c>
      <c r="E19" t="s">
        <v>53</v>
      </c>
      <c r="F19" t="s">
        <v>54</v>
      </c>
      <c r="G19" s="5"/>
    </row>
    <row r="20" spans="1:7" x14ac:dyDescent="0.25">
      <c r="A20" s="4"/>
      <c r="B20" s="9">
        <f t="shared" ref="B20" ca="1" si="0">TODAY()</f>
        <v>45475</v>
      </c>
      <c r="C20" s="8"/>
      <c r="D20" s="8"/>
      <c r="E20" s="10"/>
      <c r="G20" s="5"/>
    </row>
    <row r="21" spans="1:7" x14ac:dyDescent="0.25">
      <c r="A21" s="4"/>
      <c r="B21" s="9">
        <f ca="1">TODAY()</f>
        <v>45475</v>
      </c>
      <c r="C21" s="8"/>
      <c r="D21" s="8"/>
      <c r="E21" s="10"/>
      <c r="G21" s="5"/>
    </row>
    <row r="22" spans="1:7" x14ac:dyDescent="0.25">
      <c r="A22" s="4"/>
      <c r="B22" s="9">
        <f t="shared" ref="B22:B23" ca="1" si="1">TODAY()</f>
        <v>45475</v>
      </c>
      <c r="C22" s="8"/>
      <c r="D22" s="8"/>
      <c r="E22" s="10"/>
      <c r="G22" s="5"/>
    </row>
    <row r="23" spans="1:7" x14ac:dyDescent="0.25">
      <c r="A23" s="4"/>
      <c r="B23" s="9">
        <f t="shared" ca="1" si="1"/>
        <v>45475</v>
      </c>
      <c r="C23" s="8"/>
      <c r="D23" s="8"/>
      <c r="E23" s="10"/>
      <c r="G23" s="5"/>
    </row>
    <row r="24" spans="1:7" x14ac:dyDescent="0.25">
      <c r="A24" s="4"/>
      <c r="B24" s="9"/>
      <c r="C24" s="8" t="s">
        <v>65</v>
      </c>
      <c r="D24" s="8" t="s">
        <v>59</v>
      </c>
      <c r="E24" s="10">
        <f>SUM(GastosVariadosEssenciais9189194199204214[[#All],[Valor]])</f>
        <v>0</v>
      </c>
      <c r="F24" t="str">
        <f>_xlfn.IFNA(VLOOKUP("Não",GastosVariadosEssenciais9189194199204214[Pago?],1,FALSE),"Sim")</f>
        <v>Sim</v>
      </c>
      <c r="G24" s="5"/>
    </row>
    <row r="25" spans="1:7" x14ac:dyDescent="0.25">
      <c r="A25" s="6"/>
      <c r="B25" s="44"/>
      <c r="C25" s="44"/>
      <c r="D25" s="44"/>
      <c r="E25" s="44"/>
      <c r="F25" s="44"/>
      <c r="G25" s="7"/>
    </row>
    <row r="26" spans="1:7" x14ac:dyDescent="0.25">
      <c r="A26" s="2"/>
      <c r="B26" s="42" t="s">
        <v>67</v>
      </c>
      <c r="C26" s="42"/>
      <c r="D26" s="42"/>
      <c r="E26" s="42"/>
      <c r="F26" s="42"/>
      <c r="G26" s="3"/>
    </row>
    <row r="27" spans="1:7" x14ac:dyDescent="0.25">
      <c r="A27" s="4"/>
      <c r="B27" t="s">
        <v>50</v>
      </c>
      <c r="C27" t="s">
        <v>51</v>
      </c>
      <c r="D27" t="s">
        <v>52</v>
      </c>
      <c r="E27" t="s">
        <v>53</v>
      </c>
      <c r="F27" t="s">
        <v>54</v>
      </c>
      <c r="G27" s="5"/>
    </row>
    <row r="28" spans="1:7" x14ac:dyDescent="0.25">
      <c r="A28" s="4"/>
      <c r="B28" s="9">
        <v>45463</v>
      </c>
      <c r="C28" s="8"/>
      <c r="D28" s="8"/>
      <c r="E28" s="10"/>
      <c r="G28" s="5"/>
    </row>
    <row r="29" spans="1:7" x14ac:dyDescent="0.25">
      <c r="A29" s="4"/>
      <c r="B29" s="9">
        <v>45463</v>
      </c>
      <c r="C29" s="8"/>
      <c r="D29" s="8"/>
      <c r="E29" s="10"/>
      <c r="G29" s="5"/>
    </row>
    <row r="30" spans="1:7" x14ac:dyDescent="0.25">
      <c r="A30" s="4"/>
      <c r="B30" s="9">
        <v>45463</v>
      </c>
      <c r="C30" s="8"/>
      <c r="D30" s="8"/>
      <c r="E30" s="10"/>
      <c r="G30" s="5"/>
    </row>
    <row r="31" spans="1:7" x14ac:dyDescent="0.25">
      <c r="A31" s="4"/>
      <c r="B31" s="9">
        <v>45468</v>
      </c>
      <c r="C31" s="8"/>
      <c r="D31" s="8"/>
      <c r="E31" s="10"/>
      <c r="G31" s="5"/>
    </row>
    <row r="32" spans="1:7" x14ac:dyDescent="0.25">
      <c r="A32" s="4"/>
      <c r="B32" s="9">
        <v>45463</v>
      </c>
      <c r="C32" s="8"/>
      <c r="D32" s="8"/>
      <c r="E32" s="10"/>
      <c r="G32" s="5"/>
    </row>
    <row r="33" spans="1:7" x14ac:dyDescent="0.25">
      <c r="A33" s="4"/>
      <c r="B33" s="9"/>
      <c r="C33" s="8" t="s">
        <v>71</v>
      </c>
      <c r="D33" s="8" t="s">
        <v>59</v>
      </c>
      <c r="E33" s="10">
        <f>SUM(GastosVariadosNãoEssenciais10190195200205215[[#All],[Valor]])</f>
        <v>0</v>
      </c>
      <c r="F33" t="str">
        <f>_xlfn.IFNA(VLOOKUP("Não",GastosVariadosNãoEssenciais10190195200205215[Pago?],1,FALSE),"Sim")</f>
        <v>Sim</v>
      </c>
      <c r="G33" s="5"/>
    </row>
    <row r="34" spans="1:7" x14ac:dyDescent="0.25">
      <c r="A34" s="4"/>
      <c r="B34" s="41"/>
      <c r="C34" s="41"/>
      <c r="D34" s="41"/>
      <c r="E34" s="41"/>
      <c r="F34" s="41"/>
      <c r="G34" s="5"/>
    </row>
    <row r="35" spans="1:7" x14ac:dyDescent="0.25">
      <c r="A35" s="2"/>
      <c r="B35" s="12"/>
      <c r="C35" s="42" t="s">
        <v>80</v>
      </c>
      <c r="D35" s="42"/>
      <c r="E35" s="42"/>
      <c r="F35" s="12"/>
      <c r="G35" s="3"/>
    </row>
    <row r="36" spans="1:7" x14ac:dyDescent="0.25">
      <c r="A36" s="4"/>
      <c r="B36" s="11"/>
      <c r="C36" t="s">
        <v>81</v>
      </c>
      <c r="D36" t="s">
        <v>84</v>
      </c>
      <c r="E36" t="s">
        <v>53</v>
      </c>
      <c r="F36" s="11"/>
      <c r="G36" s="5"/>
    </row>
    <row r="37" spans="1:7" x14ac:dyDescent="0.25">
      <c r="A37" s="4"/>
      <c r="B37" s="11"/>
      <c r="C37" s="15" t="s">
        <v>82</v>
      </c>
      <c r="D37" s="15"/>
      <c r="E37" s="15">
        <f>RendaTotal</f>
        <v>0</v>
      </c>
      <c r="F37" s="11"/>
      <c r="G37" s="5"/>
    </row>
    <row r="38" spans="1:7" x14ac:dyDescent="0.25">
      <c r="A38" s="4"/>
      <c r="B38" s="11"/>
      <c r="C38" s="16" t="s">
        <v>64</v>
      </c>
      <c r="D38" s="16"/>
      <c r="E38" s="16">
        <f>FixosTotais</f>
        <v>0</v>
      </c>
      <c r="F38" s="11"/>
      <c r="G38" s="5"/>
    </row>
    <row r="39" spans="1:7" x14ac:dyDescent="0.25">
      <c r="A39" s="4"/>
      <c r="B39" s="11"/>
      <c r="C39" s="16" t="s">
        <v>86</v>
      </c>
      <c r="D39" s="16"/>
      <c r="E39" s="16">
        <f>EssenciaisTotais</f>
        <v>0</v>
      </c>
      <c r="F39" s="11"/>
      <c r="G39" s="5"/>
    </row>
    <row r="40" spans="1:7" x14ac:dyDescent="0.25">
      <c r="A40" s="4"/>
      <c r="B40" s="11"/>
      <c r="C40" s="17" t="s">
        <v>87</v>
      </c>
      <c r="D40" s="17"/>
      <c r="E40" s="17">
        <f>NãoEssenciaisTotais</f>
        <v>0</v>
      </c>
      <c r="F40" s="11"/>
      <c r="G40" s="5"/>
    </row>
    <row r="41" spans="1:7" x14ac:dyDescent="0.25">
      <c r="A41" s="4"/>
      <c r="B41" s="11"/>
      <c r="C41" s="10" t="s">
        <v>83</v>
      </c>
      <c r="D41" s="10"/>
      <c r="E41" s="10">
        <f>E37-SUM(E38:E40)</f>
        <v>0</v>
      </c>
      <c r="F41" s="11"/>
      <c r="G41" s="5"/>
    </row>
    <row r="42" spans="1:7" x14ac:dyDescent="0.25">
      <c r="A42" s="6"/>
      <c r="B42" s="13"/>
      <c r="C42" s="13"/>
      <c r="D42" s="13"/>
      <c r="E42" s="13"/>
      <c r="F42" s="13"/>
      <c r="G42" s="7"/>
    </row>
  </sheetData>
  <dataConsolidate/>
  <mergeCells count="9">
    <mergeCell ref="B26:F26"/>
    <mergeCell ref="B34:F34"/>
    <mergeCell ref="C35:E35"/>
    <mergeCell ref="A1:G1"/>
    <mergeCell ref="C2:E2"/>
    <mergeCell ref="B9:F9"/>
    <mergeCell ref="B17:F17"/>
    <mergeCell ref="B18:F18"/>
    <mergeCell ref="B25:F25"/>
  </mergeCells>
  <conditionalFormatting sqref="E41">
    <cfRule type="cellIs" dxfId="228" priority="1" operator="lessThanOrEqual">
      <formula>0</formula>
    </cfRule>
    <cfRule type="cellIs" dxfId="227" priority="2" operator="between">
      <formula>100</formula>
      <formula>0</formula>
    </cfRule>
  </conditionalFormatting>
  <dataValidations count="2">
    <dataValidation type="list" allowBlank="1" showInputMessage="1" showErrorMessage="1" sqref="D11:D15 D20:D23 D28:D32" xr:uid="{67F8CD10-AA48-498A-B060-0EC6F1F67DDF}">
      <formula1>Tipos</formula1>
    </dataValidation>
    <dataValidation type="date" allowBlank="1" showInputMessage="1" showErrorMessage="1" sqref="B11:B15 B20:B23 B28:B32 B4:B6" xr:uid="{19A0EB3F-DF7B-4729-8CE8-4F88080EBECB}">
      <formula1>43831</formula1>
      <formula2>73415</formula2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cultarGraficos">
                <anchor moveWithCells="1">
                  <from>
                    <xdr:col>14</xdr:col>
                    <xdr:colOff>9525</xdr:colOff>
                    <xdr:row>3</xdr:row>
                    <xdr:rowOff>180975</xdr:rowOff>
                  </from>
                  <to>
                    <xdr:col>20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ExibirGraficos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19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6FDE2B3E-374F-46A1-9AAF-0B7BBCC13447}">
            <xm:f>NOT(ISERROR(SEARCH('Tipos de Gastos'!$K$1,D3)))</xm:f>
            <xm:f>'Tipos de Gastos'!$K$1</xm:f>
            <x14:dxf>
              <fill>
                <patternFill>
                  <bgColor rgb="FFDAADA6"/>
                </patternFill>
              </fill>
            </x14:dxf>
          </x14:cfRule>
          <x14:cfRule type="containsText" priority="6" operator="containsText" id="{A45A460A-96CD-4FA3-8A96-3C41C617BBB9}">
            <xm:f>NOT(ISERROR(SEARCH('Tipos de Gastos'!$J$1,D3)))</xm:f>
            <xm:f>'Tipos de Gastos'!$J$1</xm:f>
            <x14:dxf>
              <fill>
                <patternFill>
                  <bgColor rgb="FFB2B2B2"/>
                </patternFill>
              </fill>
            </x14:dxf>
          </x14:cfRule>
          <x14:cfRule type="containsText" priority="7" operator="containsText" id="{82782D45-A304-4747-B284-211EB1FA3DF1}">
            <xm:f>NOT(ISERROR(SEARCH('Tipos de Gastos'!$I$1,D3)))</xm:f>
            <xm:f>'Tipos de Gastos'!$I$1</xm:f>
            <x14:dxf>
              <fill>
                <patternFill>
                  <bgColor rgb="FF00FF99"/>
                </patternFill>
              </fill>
            </x14:dxf>
          </x14:cfRule>
          <x14:cfRule type="containsText" priority="8" operator="containsText" id="{34FD5137-B919-4496-8EA8-EE378B0911AF}">
            <xm:f>NOT(ISERROR(SEARCH('Tipos de Gastos'!$H$1,D3)))</xm:f>
            <xm:f>'Tipos de Gastos'!$H$1</xm:f>
            <x14:dxf>
              <fill>
                <patternFill>
                  <bgColor rgb="FFCC99FF"/>
                </patternFill>
              </fill>
            </x14:dxf>
          </x14:cfRule>
          <x14:cfRule type="containsText" priority="9" operator="containsText" id="{F36D4A4C-DB19-4B24-B0B0-CA0DF61C8ACA}">
            <xm:f>NOT(ISERROR(SEARCH('Tipos de Gastos'!$G$1,D3)))</xm:f>
            <xm:f>'Tipos de Gastos'!$G$1</xm:f>
            <x14:dxf>
              <fill>
                <patternFill>
                  <bgColor rgb="FF66FFCC"/>
                </patternFill>
              </fill>
            </x14:dxf>
          </x14:cfRule>
          <x14:cfRule type="containsText" priority="10" operator="containsText" id="{90590466-BC3F-48CF-BED5-F43B1EA80C8C}">
            <xm:f>NOT(ISERROR(SEARCH('Tipos de Gastos'!$F$1,D3)))</xm:f>
            <xm:f>'Tipos de Gastos'!$F$1</xm:f>
            <x14:dxf>
              <fill>
                <patternFill>
                  <bgColor rgb="FF66FF66"/>
                </patternFill>
              </fill>
            </x14:dxf>
          </x14:cfRule>
          <x14:cfRule type="containsText" priority="11" operator="containsText" id="{1AA4455E-2F6A-4CC4-AA9E-63B69A009606}">
            <xm:f>NOT(ISERROR(SEARCH('Tipos de Gastos'!$E$1,D3)))</xm:f>
            <xm:f>'Tipos de Gastos'!$E$1</xm:f>
            <x14:dxf>
              <fill>
                <patternFill>
                  <bgColor rgb="FFCCFF33"/>
                </patternFill>
              </fill>
            </x14:dxf>
          </x14:cfRule>
          <x14:cfRule type="containsText" priority="12" operator="containsText" id="{27C88668-EC5E-4392-9928-88256C229961}">
            <xm:f>NOT(ISERROR(SEARCH('Tipos de Gastos'!$D$1,D3)))</xm:f>
            <xm:f>'Tipos de Gastos'!$D$1</xm:f>
            <x14:dxf>
              <fill>
                <patternFill>
                  <bgColor rgb="FFFF7C80"/>
                </patternFill>
              </fill>
            </x14:dxf>
          </x14:cfRule>
          <x14:cfRule type="containsText" priority="13" operator="containsText" id="{0F41A58D-1F7B-4730-B1E3-23228752786D}">
            <xm:f>NOT(ISERROR(SEARCH('Tipos de Gastos'!$C$1,D3)))</xm:f>
            <xm:f>'Tipos de Gastos'!$C$1</xm:f>
            <x14:dxf>
              <fill>
                <patternFill>
                  <bgColor rgb="FFFFCC66"/>
                </patternFill>
              </fill>
            </x14:dxf>
          </x14:cfRule>
          <x14:cfRule type="containsText" priority="14" operator="containsText" id="{BCC409E0-4845-4076-9A02-422015D74D22}">
            <xm:f>NOT(ISERROR(SEARCH('Tipos de Gastos'!$B$1,D3)))</xm:f>
            <xm:f>'Tipos de Gastos'!$B$1</xm:f>
            <x14:dxf>
              <fill>
                <patternFill>
                  <bgColor rgb="FFFFFF66"/>
                </patternFill>
              </fill>
            </x14:dxf>
          </x14:cfRule>
          <x14:cfRule type="containsText" priority="15" operator="containsText" id="{E9AE7616-3E37-45E9-BE24-CC51EEAA84F0}">
            <xm:f>NOT(ISERROR(SEARCH('Tipos de Gastos'!$A$1,D3)))</xm:f>
            <xm:f>'Tipos de Gastos'!$A$1</xm:f>
            <x14:dxf>
              <fill>
                <patternFill patternType="solid">
                  <bgColor rgb="FFCC99FF"/>
                </patternFill>
              </fill>
            </x14:dxf>
          </x14:cfRule>
          <xm:sqref>D3 D7:D34 E37:E41 D42:D1048576</xm:sqref>
        </x14:conditionalFormatting>
        <x14:conditionalFormatting xmlns:xm="http://schemas.microsoft.com/office/excel/2006/main">
          <x14:cfRule type="containsText" priority="3" operator="containsText" id="{3799AC08-3FF1-4256-9428-7A334ABFAB61}">
            <xm:f>NOT(ISERROR(SEARCH('Variáveis de Seleção'!$A$2,B2)))</xm:f>
            <xm:f>'Variáveis de Seleção'!$A$2</xm:f>
            <x14:dxf>
              <font>
                <u val="double"/>
              </font>
              <fill>
                <patternFill>
                  <bgColor rgb="FF92D050"/>
                </patternFill>
              </fill>
            </x14:dxf>
          </x14:cfRule>
          <xm:sqref>E36:E41 C2 F2 B3:F3 B4:C6 E4:F6 B7:F34 B35:C41 F35:F41 B42:F1048576</xm:sqref>
        </x14:conditionalFormatting>
        <x14:conditionalFormatting xmlns:xm="http://schemas.microsoft.com/office/excel/2006/main">
          <x14:cfRule type="containsText" priority="4" operator="containsText" id="{BD27B8B0-3E02-42B5-AF77-5BE2B7577FF2}">
            <xm:f>NOT(ISERROR(SEARCH('Variáveis de Seleção'!$A$3,F2)))</xm:f>
            <xm:f>'Variáveis de Seleção'!$A$3</xm:f>
            <x14:dxf>
              <font>
                <b val="0"/>
                <i val="0"/>
                <u val="double"/>
                <color auto="1"/>
              </font>
              <fill>
                <patternFill patternType="solid">
                  <bgColor rgb="FFFFFF00"/>
                </patternFill>
              </fill>
            </x14:dxf>
          </x14:cfRule>
          <xm:sqref>F2:F1048576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68E244A-D873-442B-88B3-04494F25E7CE}">
          <x14:formula1>
            <xm:f>'Variáveis de Seleção'!$A$2:$A$3</xm:f>
          </x14:formula1>
          <xm:sqref>F11:F15 F20:F23 F28:F32 F4:F6</xm:sqref>
        </x14:dataValidation>
        <x14:dataValidation type="list" allowBlank="1" showInputMessage="1" showErrorMessage="1" xr:uid="{332C1F71-9DA8-48EF-BC0D-D10B75CF246C}">
          <x14:formula1>
            <xm:f>'Variáveis de Seleção'!$B$2:$B$4</xm:f>
          </x14:formula1>
          <xm:sqref>D4:D6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45246-5B4F-4A83-8DBB-F7D613DF46D2}">
  <sheetPr codeName="Planilha12"/>
  <dimension ref="A1:G42"/>
  <sheetViews>
    <sheetView showGridLines="0" topLeftCell="A4" zoomScaleNormal="100" workbookViewId="0">
      <selection activeCell="E12" sqref="E12"/>
    </sheetView>
  </sheetViews>
  <sheetFormatPr defaultRowHeight="15" x14ac:dyDescent="0.25"/>
  <cols>
    <col min="1" max="1" width="3.5703125" customWidth="1"/>
    <col min="2" max="2" width="10.7109375" customWidth="1"/>
    <col min="3" max="3" width="22.140625" customWidth="1"/>
    <col min="4" max="4" width="20.28515625" customWidth="1"/>
    <col min="5" max="5" width="12.140625" bestFit="1" customWidth="1"/>
    <col min="7" max="7" width="3.5703125" customWidth="1"/>
  </cols>
  <sheetData>
    <row r="1" spans="1:7" x14ac:dyDescent="0.25">
      <c r="A1" s="45" t="s">
        <v>99</v>
      </c>
      <c r="B1" s="45"/>
      <c r="C1" s="45"/>
      <c r="D1" s="45"/>
      <c r="E1" s="45"/>
      <c r="F1" s="45"/>
      <c r="G1" s="45"/>
    </row>
    <row r="2" spans="1:7" x14ac:dyDescent="0.25">
      <c r="A2" s="2"/>
      <c r="B2" s="11"/>
      <c r="C2" s="42" t="s">
        <v>72</v>
      </c>
      <c r="D2" s="42"/>
      <c r="E2" s="42"/>
      <c r="F2" s="12"/>
      <c r="G2" s="3"/>
    </row>
    <row r="3" spans="1:7" x14ac:dyDescent="0.25">
      <c r="A3" s="4"/>
      <c r="B3" s="11"/>
      <c r="C3" t="s">
        <v>51</v>
      </c>
      <c r="D3" t="s">
        <v>52</v>
      </c>
      <c r="E3" t="s">
        <v>53</v>
      </c>
      <c r="F3" s="11"/>
      <c r="G3" s="5"/>
    </row>
    <row r="4" spans="1:7" x14ac:dyDescent="0.25">
      <c r="A4" s="4"/>
      <c r="B4" s="14"/>
      <c r="C4" s="8" t="s">
        <v>76</v>
      </c>
      <c r="D4" s="8" t="s">
        <v>79</v>
      </c>
      <c r="E4" s="10"/>
      <c r="F4" s="11"/>
      <c r="G4" s="5"/>
    </row>
    <row r="5" spans="1:7" x14ac:dyDescent="0.25">
      <c r="A5" s="4"/>
      <c r="B5" s="14"/>
      <c r="C5" s="8" t="s">
        <v>77</v>
      </c>
      <c r="D5" s="8" t="s">
        <v>74</v>
      </c>
      <c r="E5" s="10"/>
      <c r="F5" s="11"/>
      <c r="G5" s="5"/>
    </row>
    <row r="6" spans="1:7" x14ac:dyDescent="0.25">
      <c r="A6" s="4"/>
      <c r="B6" s="14"/>
      <c r="C6" s="8" t="s">
        <v>78</v>
      </c>
      <c r="D6" s="8" t="s">
        <v>75</v>
      </c>
      <c r="E6" s="10"/>
      <c r="F6" s="11"/>
      <c r="G6" s="5"/>
    </row>
    <row r="7" spans="1:7" x14ac:dyDescent="0.25">
      <c r="A7" s="4"/>
      <c r="B7" s="14"/>
      <c r="C7" s="8"/>
      <c r="D7" s="8" t="s">
        <v>59</v>
      </c>
      <c r="E7" s="10">
        <f>SUM(Entrada11191196201206216221[Valor])</f>
        <v>0</v>
      </c>
      <c r="F7" s="11"/>
      <c r="G7" s="5"/>
    </row>
    <row r="8" spans="1:7" x14ac:dyDescent="0.25">
      <c r="A8" s="6"/>
      <c r="B8" s="13"/>
      <c r="C8" s="13"/>
      <c r="D8" s="13"/>
      <c r="E8" s="13"/>
      <c r="F8" s="13"/>
      <c r="G8" s="7"/>
    </row>
    <row r="9" spans="1:7" ht="18.75" customHeight="1" x14ac:dyDescent="0.25">
      <c r="A9" s="2"/>
      <c r="B9" s="42" t="s">
        <v>49</v>
      </c>
      <c r="C9" s="42"/>
      <c r="D9" s="42"/>
      <c r="E9" s="42"/>
      <c r="F9" s="42"/>
      <c r="G9" s="3"/>
    </row>
    <row r="10" spans="1:7" x14ac:dyDescent="0.25">
      <c r="A10" s="4"/>
      <c r="B10" t="s">
        <v>50</v>
      </c>
      <c r="C10" t="s">
        <v>51</v>
      </c>
      <c r="D10" t="s">
        <v>52</v>
      </c>
      <c r="E10" t="s">
        <v>53</v>
      </c>
      <c r="F10" t="s">
        <v>54</v>
      </c>
      <c r="G10" s="5"/>
    </row>
    <row r="11" spans="1:7" x14ac:dyDescent="0.25">
      <c r="A11" s="4"/>
      <c r="B11" s="9">
        <v>45453</v>
      </c>
      <c r="C11" s="8"/>
      <c r="D11" s="8"/>
      <c r="E11" s="10"/>
      <c r="G11" s="5"/>
    </row>
    <row r="12" spans="1:7" x14ac:dyDescent="0.25">
      <c r="A12" s="4"/>
      <c r="B12" s="9">
        <v>45453</v>
      </c>
      <c r="C12" s="8"/>
      <c r="D12" s="8"/>
      <c r="E12" s="10"/>
      <c r="G12" s="5"/>
    </row>
    <row r="13" spans="1:7" x14ac:dyDescent="0.25">
      <c r="A13" s="4"/>
      <c r="B13" s="9">
        <v>45458</v>
      </c>
      <c r="C13" s="8"/>
      <c r="D13" s="8"/>
      <c r="E13" s="10"/>
      <c r="G13" s="5"/>
    </row>
    <row r="14" spans="1:7" x14ac:dyDescent="0.25">
      <c r="A14" s="4"/>
      <c r="B14" s="9">
        <v>45463</v>
      </c>
      <c r="C14" s="8"/>
      <c r="D14" s="8"/>
      <c r="E14" s="10"/>
      <c r="G14" s="5"/>
    </row>
    <row r="15" spans="1:7" x14ac:dyDescent="0.25">
      <c r="A15" s="4"/>
      <c r="B15" s="9">
        <v>45451</v>
      </c>
      <c r="C15" s="8"/>
      <c r="D15" s="8"/>
      <c r="E15" s="10"/>
      <c r="G15" s="5"/>
    </row>
    <row r="16" spans="1:7" ht="18.75" customHeight="1" x14ac:dyDescent="0.25">
      <c r="A16" s="4"/>
      <c r="B16" s="9"/>
      <c r="C16" s="8" t="s">
        <v>64</v>
      </c>
      <c r="D16" s="8" t="s">
        <v>59</v>
      </c>
      <c r="E16" s="10">
        <f>SUM(GastosFixos7188193198203213218[[#All],[Valor]])</f>
        <v>0</v>
      </c>
      <c r="F16" t="str">
        <f>_xlfn.IFNA(VLOOKUP("Não",GastosFixos7188193198203213218[Pago?],1,FALSE),"Sim")</f>
        <v>Sim</v>
      </c>
      <c r="G16" s="5"/>
    </row>
    <row r="17" spans="1:7" ht="18.75" customHeight="1" x14ac:dyDescent="0.25">
      <c r="A17" s="6"/>
      <c r="B17" s="44"/>
      <c r="C17" s="44"/>
      <c r="D17" s="44"/>
      <c r="E17" s="44"/>
      <c r="F17" s="44"/>
      <c r="G17" s="7"/>
    </row>
    <row r="18" spans="1:7" ht="18.75" customHeight="1" x14ac:dyDescent="0.25">
      <c r="A18" s="2"/>
      <c r="B18" s="42" t="s">
        <v>63</v>
      </c>
      <c r="C18" s="42"/>
      <c r="D18" s="42"/>
      <c r="E18" s="42"/>
      <c r="F18" s="42"/>
      <c r="G18" s="3"/>
    </row>
    <row r="19" spans="1:7" x14ac:dyDescent="0.25">
      <c r="A19" s="4"/>
      <c r="B19" t="s">
        <v>50</v>
      </c>
      <c r="C19" t="s">
        <v>51</v>
      </c>
      <c r="D19" t="s">
        <v>52</v>
      </c>
      <c r="E19" t="s">
        <v>53</v>
      </c>
      <c r="F19" t="s">
        <v>54</v>
      </c>
      <c r="G19" s="5"/>
    </row>
    <row r="20" spans="1:7" x14ac:dyDescent="0.25">
      <c r="A20" s="4"/>
      <c r="B20" s="9">
        <f t="shared" ref="B20" ca="1" si="0">TODAY()</f>
        <v>45475</v>
      </c>
      <c r="C20" s="8"/>
      <c r="D20" s="8"/>
      <c r="E20" s="10"/>
      <c r="G20" s="5"/>
    </row>
    <row r="21" spans="1:7" x14ac:dyDescent="0.25">
      <c r="A21" s="4"/>
      <c r="B21" s="9">
        <f ca="1">TODAY()</f>
        <v>45475</v>
      </c>
      <c r="C21" s="8"/>
      <c r="D21" s="8"/>
      <c r="E21" s="10"/>
      <c r="G21" s="5"/>
    </row>
    <row r="22" spans="1:7" x14ac:dyDescent="0.25">
      <c r="A22" s="4"/>
      <c r="B22" s="9">
        <f t="shared" ref="B22:B23" ca="1" si="1">TODAY()</f>
        <v>45475</v>
      </c>
      <c r="C22" s="8"/>
      <c r="D22" s="8"/>
      <c r="E22" s="10"/>
      <c r="G22" s="5"/>
    </row>
    <row r="23" spans="1:7" x14ac:dyDescent="0.25">
      <c r="A23" s="4"/>
      <c r="B23" s="9">
        <f t="shared" ca="1" si="1"/>
        <v>45475</v>
      </c>
      <c r="C23" s="8"/>
      <c r="D23" s="8"/>
      <c r="E23" s="10"/>
      <c r="G23" s="5"/>
    </row>
    <row r="24" spans="1:7" x14ac:dyDescent="0.25">
      <c r="A24" s="4"/>
      <c r="B24" s="9"/>
      <c r="C24" s="8" t="s">
        <v>65</v>
      </c>
      <c r="D24" s="8" t="s">
        <v>59</v>
      </c>
      <c r="E24" s="10">
        <f>SUM(GastosVariadosEssenciais9189194199204214219[[#All],[Valor]])</f>
        <v>0</v>
      </c>
      <c r="F24" t="str">
        <f>_xlfn.IFNA(VLOOKUP("Não",GastosVariadosEssenciais9189194199204214219[Pago?],1,FALSE),"Sim")</f>
        <v>Sim</v>
      </c>
      <c r="G24" s="5"/>
    </row>
    <row r="25" spans="1:7" x14ac:dyDescent="0.25">
      <c r="A25" s="6"/>
      <c r="B25" s="44"/>
      <c r="C25" s="44"/>
      <c r="D25" s="44"/>
      <c r="E25" s="44"/>
      <c r="F25" s="44"/>
      <c r="G25" s="7"/>
    </row>
    <row r="26" spans="1:7" x14ac:dyDescent="0.25">
      <c r="A26" s="2"/>
      <c r="B26" s="42" t="s">
        <v>67</v>
      </c>
      <c r="C26" s="42"/>
      <c r="D26" s="42"/>
      <c r="E26" s="42"/>
      <c r="F26" s="42"/>
      <c r="G26" s="3"/>
    </row>
    <row r="27" spans="1:7" x14ac:dyDescent="0.25">
      <c r="A27" s="4"/>
      <c r="B27" t="s">
        <v>50</v>
      </c>
      <c r="C27" t="s">
        <v>51</v>
      </c>
      <c r="D27" t="s">
        <v>52</v>
      </c>
      <c r="E27" t="s">
        <v>53</v>
      </c>
      <c r="F27" t="s">
        <v>54</v>
      </c>
      <c r="G27" s="5"/>
    </row>
    <row r="28" spans="1:7" x14ac:dyDescent="0.25">
      <c r="A28" s="4"/>
      <c r="B28" s="9">
        <v>45463</v>
      </c>
      <c r="C28" s="8"/>
      <c r="D28" s="8"/>
      <c r="E28" s="10"/>
      <c r="G28" s="5"/>
    </row>
    <row r="29" spans="1:7" x14ac:dyDescent="0.25">
      <c r="A29" s="4"/>
      <c r="B29" s="9">
        <v>45463</v>
      </c>
      <c r="C29" s="8"/>
      <c r="D29" s="8"/>
      <c r="E29" s="10"/>
      <c r="G29" s="5"/>
    </row>
    <row r="30" spans="1:7" x14ac:dyDescent="0.25">
      <c r="A30" s="4"/>
      <c r="B30" s="9">
        <v>45463</v>
      </c>
      <c r="C30" s="8"/>
      <c r="D30" s="8"/>
      <c r="E30" s="10"/>
      <c r="G30" s="5"/>
    </row>
    <row r="31" spans="1:7" x14ac:dyDescent="0.25">
      <c r="A31" s="4"/>
      <c r="B31" s="9">
        <v>45468</v>
      </c>
      <c r="C31" s="8"/>
      <c r="D31" s="8"/>
      <c r="E31" s="10"/>
      <c r="G31" s="5"/>
    </row>
    <row r="32" spans="1:7" x14ac:dyDescent="0.25">
      <c r="A32" s="4"/>
      <c r="B32" s="9">
        <v>45463</v>
      </c>
      <c r="C32" s="8"/>
      <c r="D32" s="8"/>
      <c r="E32" s="10"/>
      <c r="G32" s="5"/>
    </row>
    <row r="33" spans="1:7" x14ac:dyDescent="0.25">
      <c r="A33" s="4"/>
      <c r="B33" s="9"/>
      <c r="C33" s="8" t="s">
        <v>71</v>
      </c>
      <c r="D33" s="8" t="s">
        <v>59</v>
      </c>
      <c r="E33" s="10">
        <f>SUM(GastosVariadosNãoEssenciais10190195200205215220[[#All],[Valor]])</f>
        <v>0</v>
      </c>
      <c r="F33" t="str">
        <f>_xlfn.IFNA(VLOOKUP("Não",GastosVariadosNãoEssenciais10190195200205215220[Pago?],1,FALSE),"Sim")</f>
        <v>Sim</v>
      </c>
      <c r="G33" s="5"/>
    </row>
    <row r="34" spans="1:7" x14ac:dyDescent="0.25">
      <c r="A34" s="4"/>
      <c r="B34" s="41"/>
      <c r="C34" s="41"/>
      <c r="D34" s="41"/>
      <c r="E34" s="41"/>
      <c r="F34" s="41"/>
      <c r="G34" s="5"/>
    </row>
    <row r="35" spans="1:7" x14ac:dyDescent="0.25">
      <c r="A35" s="2"/>
      <c r="B35" s="12"/>
      <c r="C35" s="42" t="s">
        <v>80</v>
      </c>
      <c r="D35" s="42"/>
      <c r="E35" s="42"/>
      <c r="F35" s="12"/>
      <c r="G35" s="3"/>
    </row>
    <row r="36" spans="1:7" x14ac:dyDescent="0.25">
      <c r="A36" s="4"/>
      <c r="B36" s="11"/>
      <c r="C36" t="s">
        <v>81</v>
      </c>
      <c r="D36" t="s">
        <v>84</v>
      </c>
      <c r="E36" t="s">
        <v>53</v>
      </c>
      <c r="F36" s="11"/>
      <c r="G36" s="5"/>
    </row>
    <row r="37" spans="1:7" x14ac:dyDescent="0.25">
      <c r="A37" s="4"/>
      <c r="B37" s="11"/>
      <c r="C37" s="15" t="s">
        <v>82</v>
      </c>
      <c r="D37" s="15"/>
      <c r="E37" s="15">
        <f>RendaTotal</f>
        <v>0</v>
      </c>
      <c r="F37" s="11"/>
      <c r="G37" s="5"/>
    </row>
    <row r="38" spans="1:7" x14ac:dyDescent="0.25">
      <c r="A38" s="4"/>
      <c r="B38" s="11"/>
      <c r="C38" s="16" t="s">
        <v>64</v>
      </c>
      <c r="D38" s="16"/>
      <c r="E38" s="16">
        <f>FixosTotais</f>
        <v>0</v>
      </c>
      <c r="F38" s="11"/>
      <c r="G38" s="5"/>
    </row>
    <row r="39" spans="1:7" x14ac:dyDescent="0.25">
      <c r="A39" s="4"/>
      <c r="B39" s="11"/>
      <c r="C39" s="16" t="s">
        <v>86</v>
      </c>
      <c r="D39" s="16"/>
      <c r="E39" s="16">
        <f>EssenciaisTotais</f>
        <v>0</v>
      </c>
      <c r="F39" s="11"/>
      <c r="G39" s="5"/>
    </row>
    <row r="40" spans="1:7" x14ac:dyDescent="0.25">
      <c r="A40" s="4"/>
      <c r="B40" s="11"/>
      <c r="C40" s="17" t="s">
        <v>87</v>
      </c>
      <c r="D40" s="17"/>
      <c r="E40" s="17">
        <f>NãoEssenciaisTotais</f>
        <v>0</v>
      </c>
      <c r="F40" s="11"/>
      <c r="G40" s="5"/>
    </row>
    <row r="41" spans="1:7" x14ac:dyDescent="0.25">
      <c r="A41" s="4"/>
      <c r="B41" s="11"/>
      <c r="C41" s="10" t="s">
        <v>83</v>
      </c>
      <c r="D41" s="10"/>
      <c r="E41" s="10">
        <f>E37-SUM(E38:E40)</f>
        <v>0</v>
      </c>
      <c r="F41" s="11"/>
      <c r="G41" s="5"/>
    </row>
    <row r="42" spans="1:7" x14ac:dyDescent="0.25">
      <c r="A42" s="6"/>
      <c r="B42" s="13"/>
      <c r="C42" s="13"/>
      <c r="D42" s="13"/>
      <c r="E42" s="13"/>
      <c r="F42" s="13"/>
      <c r="G42" s="7"/>
    </row>
  </sheetData>
  <dataConsolidate/>
  <mergeCells count="9">
    <mergeCell ref="B26:F26"/>
    <mergeCell ref="B34:F34"/>
    <mergeCell ref="C35:E35"/>
    <mergeCell ref="A1:G1"/>
    <mergeCell ref="C2:E2"/>
    <mergeCell ref="B9:F9"/>
    <mergeCell ref="B17:F17"/>
    <mergeCell ref="B18:F18"/>
    <mergeCell ref="B25:F25"/>
  </mergeCells>
  <conditionalFormatting sqref="E41">
    <cfRule type="cellIs" dxfId="192" priority="1" operator="lessThanOrEqual">
      <formula>0</formula>
    </cfRule>
    <cfRule type="cellIs" dxfId="191" priority="2" operator="between">
      <formula>100</formula>
      <formula>0</formula>
    </cfRule>
  </conditionalFormatting>
  <dataValidations count="2">
    <dataValidation type="date" allowBlank="1" showInputMessage="1" showErrorMessage="1" sqref="B11:B15 B20:B23 B28:B32 B4:B6" xr:uid="{BEF715C9-3A06-456F-81A0-903755D85813}">
      <formula1>43831</formula1>
      <formula2>73415</formula2>
    </dataValidation>
    <dataValidation type="list" allowBlank="1" showInputMessage="1" showErrorMessage="1" sqref="D11:D15 D20:D23 D28:D32" xr:uid="{3AC8530F-885C-4AC1-BB73-975F7DAB9889}">
      <formula1>Tipos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OcultarGraficos">
                <anchor moveWithCells="1">
                  <from>
                    <xdr:col>14</xdr:col>
                    <xdr:colOff>9525</xdr:colOff>
                    <xdr:row>3</xdr:row>
                    <xdr:rowOff>180975</xdr:rowOff>
                  </from>
                  <to>
                    <xdr:col>20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ExibirGraficos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19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C3B239D-FCA2-4477-851F-5D716B670D18}">
            <xm:f>NOT(ISERROR(SEARCH('Tipos de Gastos'!$K$1,D3)))</xm:f>
            <xm:f>'Tipos de Gastos'!$K$1</xm:f>
            <x14:dxf>
              <fill>
                <patternFill>
                  <bgColor rgb="FFDAADA6"/>
                </patternFill>
              </fill>
            </x14:dxf>
          </x14:cfRule>
          <x14:cfRule type="containsText" priority="6" operator="containsText" id="{32E2F626-596C-40D5-8799-862548678D64}">
            <xm:f>NOT(ISERROR(SEARCH('Tipos de Gastos'!$J$1,D3)))</xm:f>
            <xm:f>'Tipos de Gastos'!$J$1</xm:f>
            <x14:dxf>
              <fill>
                <patternFill>
                  <bgColor rgb="FFB2B2B2"/>
                </patternFill>
              </fill>
            </x14:dxf>
          </x14:cfRule>
          <x14:cfRule type="containsText" priority="7" operator="containsText" id="{13F9A6F2-BD96-47E4-AB00-44150A2599C2}">
            <xm:f>NOT(ISERROR(SEARCH('Tipos de Gastos'!$I$1,D3)))</xm:f>
            <xm:f>'Tipos de Gastos'!$I$1</xm:f>
            <x14:dxf>
              <fill>
                <patternFill>
                  <bgColor rgb="FF00FF99"/>
                </patternFill>
              </fill>
            </x14:dxf>
          </x14:cfRule>
          <x14:cfRule type="containsText" priority="8" operator="containsText" id="{2AD39398-0194-4D17-8B87-C5F89154ACB1}">
            <xm:f>NOT(ISERROR(SEARCH('Tipos de Gastos'!$H$1,D3)))</xm:f>
            <xm:f>'Tipos de Gastos'!$H$1</xm:f>
            <x14:dxf>
              <fill>
                <patternFill>
                  <bgColor rgb="FFCC99FF"/>
                </patternFill>
              </fill>
            </x14:dxf>
          </x14:cfRule>
          <x14:cfRule type="containsText" priority="9" operator="containsText" id="{96EC45B4-C81E-47F7-8F71-C736DA635081}">
            <xm:f>NOT(ISERROR(SEARCH('Tipos de Gastos'!$G$1,D3)))</xm:f>
            <xm:f>'Tipos de Gastos'!$G$1</xm:f>
            <x14:dxf>
              <fill>
                <patternFill>
                  <bgColor rgb="FF66FFCC"/>
                </patternFill>
              </fill>
            </x14:dxf>
          </x14:cfRule>
          <x14:cfRule type="containsText" priority="10" operator="containsText" id="{96B2AC6E-3E92-4C45-B1FD-2021F7979448}">
            <xm:f>NOT(ISERROR(SEARCH('Tipos de Gastos'!$F$1,D3)))</xm:f>
            <xm:f>'Tipos de Gastos'!$F$1</xm:f>
            <x14:dxf>
              <fill>
                <patternFill>
                  <bgColor rgb="FF66FF66"/>
                </patternFill>
              </fill>
            </x14:dxf>
          </x14:cfRule>
          <x14:cfRule type="containsText" priority="11" operator="containsText" id="{CD29DB81-2569-461D-A223-BFA1DAF1272E}">
            <xm:f>NOT(ISERROR(SEARCH('Tipos de Gastos'!$E$1,D3)))</xm:f>
            <xm:f>'Tipos de Gastos'!$E$1</xm:f>
            <x14:dxf>
              <fill>
                <patternFill>
                  <bgColor rgb="FFCCFF33"/>
                </patternFill>
              </fill>
            </x14:dxf>
          </x14:cfRule>
          <x14:cfRule type="containsText" priority="12" operator="containsText" id="{96036B6B-3F39-4393-8CEF-CA5181426CDB}">
            <xm:f>NOT(ISERROR(SEARCH('Tipos de Gastos'!$D$1,D3)))</xm:f>
            <xm:f>'Tipos de Gastos'!$D$1</xm:f>
            <x14:dxf>
              <fill>
                <patternFill>
                  <bgColor rgb="FFFF7C80"/>
                </patternFill>
              </fill>
            </x14:dxf>
          </x14:cfRule>
          <x14:cfRule type="containsText" priority="13" operator="containsText" id="{D003544C-F286-44CE-BFBB-1914B6D39EC6}">
            <xm:f>NOT(ISERROR(SEARCH('Tipos de Gastos'!$C$1,D3)))</xm:f>
            <xm:f>'Tipos de Gastos'!$C$1</xm:f>
            <x14:dxf>
              <fill>
                <patternFill>
                  <bgColor rgb="FFFFCC66"/>
                </patternFill>
              </fill>
            </x14:dxf>
          </x14:cfRule>
          <x14:cfRule type="containsText" priority="14" operator="containsText" id="{BDBFCDB2-8219-4A62-A4ED-BBB6E9CE501F}">
            <xm:f>NOT(ISERROR(SEARCH('Tipos de Gastos'!$B$1,D3)))</xm:f>
            <xm:f>'Tipos de Gastos'!$B$1</xm:f>
            <x14:dxf>
              <fill>
                <patternFill>
                  <bgColor rgb="FFFFFF66"/>
                </patternFill>
              </fill>
            </x14:dxf>
          </x14:cfRule>
          <x14:cfRule type="containsText" priority="15" operator="containsText" id="{1FE49340-4A61-44B7-BB0F-9DCDD2561043}">
            <xm:f>NOT(ISERROR(SEARCH('Tipos de Gastos'!$A$1,D3)))</xm:f>
            <xm:f>'Tipos de Gastos'!$A$1</xm:f>
            <x14:dxf>
              <fill>
                <patternFill patternType="solid">
                  <bgColor rgb="FFCC99FF"/>
                </patternFill>
              </fill>
            </x14:dxf>
          </x14:cfRule>
          <xm:sqref>D3 D7:D34 E37:E41 D42:D1048576</xm:sqref>
        </x14:conditionalFormatting>
        <x14:conditionalFormatting xmlns:xm="http://schemas.microsoft.com/office/excel/2006/main">
          <x14:cfRule type="containsText" priority="3" operator="containsText" id="{6248C282-B15A-40A5-89A2-142A02D24F89}">
            <xm:f>NOT(ISERROR(SEARCH('Variáveis de Seleção'!$A$2,B2)))</xm:f>
            <xm:f>'Variáveis de Seleção'!$A$2</xm:f>
            <x14:dxf>
              <font>
                <u val="double"/>
              </font>
              <fill>
                <patternFill>
                  <bgColor rgb="FF92D050"/>
                </patternFill>
              </fill>
            </x14:dxf>
          </x14:cfRule>
          <xm:sqref>E36:E41 C2 F2 B3:F3 B4:C6 E4:F6 B7:F34 B35:C41 F35:F41 B42:F1048576</xm:sqref>
        </x14:conditionalFormatting>
        <x14:conditionalFormatting xmlns:xm="http://schemas.microsoft.com/office/excel/2006/main">
          <x14:cfRule type="containsText" priority="4" operator="containsText" id="{D6C7C624-17FC-467C-BFBA-048FE23EFAC9}">
            <xm:f>NOT(ISERROR(SEARCH('Variáveis de Seleção'!$A$3,F2)))</xm:f>
            <xm:f>'Variáveis de Seleção'!$A$3</xm:f>
            <x14:dxf>
              <font>
                <b val="0"/>
                <i val="0"/>
                <u val="double"/>
                <color auto="1"/>
              </font>
              <fill>
                <patternFill patternType="solid">
                  <bgColor rgb="FFFFFF00"/>
                </patternFill>
              </fill>
            </x14:dxf>
          </x14:cfRule>
          <xm:sqref>F2:F1048576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6553E28-1422-474D-A9C7-EBF791B5B3BF}">
          <x14:formula1>
            <xm:f>'Variáveis de Seleção'!$B$2:$B$4</xm:f>
          </x14:formula1>
          <xm:sqref>D4:D6</xm:sqref>
        </x14:dataValidation>
        <x14:dataValidation type="list" allowBlank="1" showInputMessage="1" showErrorMessage="1" xr:uid="{6B46595B-3A4E-4726-849B-238E49D4548C}">
          <x14:formula1>
            <xm:f>'Variáveis de Seleção'!$A$2:$A$3</xm:f>
          </x14:formula1>
          <xm:sqref>F11:F15 F20:F23 F28:F32 F4:F6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060FD-23B0-466C-B8CA-A5F303F46F7D}">
  <sheetPr codeName="Planilha13"/>
  <dimension ref="A1:G42"/>
  <sheetViews>
    <sheetView showGridLines="0" topLeftCell="A7" zoomScaleNormal="100" workbookViewId="0">
      <selection activeCell="E12" sqref="E12"/>
    </sheetView>
  </sheetViews>
  <sheetFormatPr defaultRowHeight="15" x14ac:dyDescent="0.25"/>
  <cols>
    <col min="1" max="1" width="3.5703125" customWidth="1"/>
    <col min="2" max="2" width="10.7109375" customWidth="1"/>
    <col min="3" max="3" width="22.140625" customWidth="1"/>
    <col min="4" max="4" width="20.28515625" customWidth="1"/>
    <col min="5" max="5" width="12.140625" bestFit="1" customWidth="1"/>
    <col min="7" max="7" width="3.5703125" customWidth="1"/>
  </cols>
  <sheetData>
    <row r="1" spans="1:7" x14ac:dyDescent="0.25">
      <c r="A1" s="45" t="s">
        <v>100</v>
      </c>
      <c r="B1" s="45"/>
      <c r="C1" s="45"/>
      <c r="D1" s="45"/>
      <c r="E1" s="45"/>
      <c r="F1" s="45"/>
      <c r="G1" s="45"/>
    </row>
    <row r="2" spans="1:7" x14ac:dyDescent="0.25">
      <c r="A2" s="2"/>
      <c r="B2" s="11"/>
      <c r="C2" s="42" t="s">
        <v>72</v>
      </c>
      <c r="D2" s="42"/>
      <c r="E2" s="42"/>
      <c r="F2" s="12"/>
      <c r="G2" s="3"/>
    </row>
    <row r="3" spans="1:7" x14ac:dyDescent="0.25">
      <c r="A3" s="4"/>
      <c r="B3" s="11"/>
      <c r="C3" t="s">
        <v>51</v>
      </c>
      <c r="D3" t="s">
        <v>52</v>
      </c>
      <c r="E3" t="s">
        <v>53</v>
      </c>
      <c r="F3" s="11"/>
      <c r="G3" s="5"/>
    </row>
    <row r="4" spans="1:7" x14ac:dyDescent="0.25">
      <c r="A4" s="4"/>
      <c r="B4" s="14"/>
      <c r="C4" s="8" t="s">
        <v>76</v>
      </c>
      <c r="D4" s="8" t="s">
        <v>79</v>
      </c>
      <c r="E4" s="10"/>
      <c r="F4" s="11"/>
      <c r="G4" s="5"/>
    </row>
    <row r="5" spans="1:7" x14ac:dyDescent="0.25">
      <c r="A5" s="4"/>
      <c r="B5" s="14"/>
      <c r="C5" s="8" t="s">
        <v>77</v>
      </c>
      <c r="D5" s="8" t="s">
        <v>74</v>
      </c>
      <c r="E5" s="10"/>
      <c r="F5" s="11"/>
      <c r="G5" s="5"/>
    </row>
    <row r="6" spans="1:7" x14ac:dyDescent="0.25">
      <c r="A6" s="4"/>
      <c r="B6" s="14"/>
      <c r="C6" s="8" t="s">
        <v>78</v>
      </c>
      <c r="D6" s="8" t="s">
        <v>75</v>
      </c>
      <c r="E6" s="10"/>
      <c r="F6" s="11"/>
      <c r="G6" s="5"/>
    </row>
    <row r="7" spans="1:7" x14ac:dyDescent="0.25">
      <c r="A7" s="4"/>
      <c r="B7" s="14"/>
      <c r="C7" s="8"/>
      <c r="D7" s="8" t="s">
        <v>59</v>
      </c>
      <c r="E7" s="10">
        <f>SUM(Entrada11191196201206216221226[Valor])</f>
        <v>0</v>
      </c>
      <c r="F7" s="11"/>
      <c r="G7" s="5"/>
    </row>
    <row r="8" spans="1:7" x14ac:dyDescent="0.25">
      <c r="A8" s="6"/>
      <c r="B8" s="13"/>
      <c r="C8" s="13"/>
      <c r="D8" s="13"/>
      <c r="E8" s="13"/>
      <c r="F8" s="13"/>
      <c r="G8" s="7"/>
    </row>
    <row r="9" spans="1:7" ht="18.75" customHeight="1" x14ac:dyDescent="0.25">
      <c r="A9" s="2"/>
      <c r="B9" s="42" t="s">
        <v>49</v>
      </c>
      <c r="C9" s="42"/>
      <c r="D9" s="42"/>
      <c r="E9" s="42"/>
      <c r="F9" s="42"/>
      <c r="G9" s="3"/>
    </row>
    <row r="10" spans="1:7" x14ac:dyDescent="0.25">
      <c r="A10" s="4"/>
      <c r="B10" t="s">
        <v>50</v>
      </c>
      <c r="C10" t="s">
        <v>51</v>
      </c>
      <c r="D10" t="s">
        <v>52</v>
      </c>
      <c r="E10" t="s">
        <v>53</v>
      </c>
      <c r="F10" t="s">
        <v>54</v>
      </c>
      <c r="G10" s="5"/>
    </row>
    <row r="11" spans="1:7" x14ac:dyDescent="0.25">
      <c r="A11" s="4"/>
      <c r="B11" s="9">
        <v>45453</v>
      </c>
      <c r="C11" s="8"/>
      <c r="D11" s="8"/>
      <c r="E11" s="10"/>
      <c r="G11" s="5"/>
    </row>
    <row r="12" spans="1:7" x14ac:dyDescent="0.25">
      <c r="A12" s="4"/>
      <c r="B12" s="9">
        <v>45453</v>
      </c>
      <c r="C12" s="8"/>
      <c r="D12" s="8"/>
      <c r="E12" s="10"/>
      <c r="G12" s="5"/>
    </row>
    <row r="13" spans="1:7" x14ac:dyDescent="0.25">
      <c r="A13" s="4"/>
      <c r="B13" s="9">
        <v>45458</v>
      </c>
      <c r="C13" s="8"/>
      <c r="D13" s="8"/>
      <c r="E13" s="10"/>
      <c r="G13" s="5"/>
    </row>
    <row r="14" spans="1:7" x14ac:dyDescent="0.25">
      <c r="A14" s="4"/>
      <c r="B14" s="9">
        <v>45463</v>
      </c>
      <c r="C14" s="8"/>
      <c r="D14" s="8"/>
      <c r="E14" s="10"/>
      <c r="G14" s="5"/>
    </row>
    <row r="15" spans="1:7" x14ac:dyDescent="0.25">
      <c r="A15" s="4"/>
      <c r="B15" s="9">
        <v>45451</v>
      </c>
      <c r="C15" s="8"/>
      <c r="D15" s="8"/>
      <c r="E15" s="10"/>
      <c r="G15" s="5"/>
    </row>
    <row r="16" spans="1:7" ht="18.75" customHeight="1" x14ac:dyDescent="0.25">
      <c r="A16" s="4"/>
      <c r="B16" s="9"/>
      <c r="C16" s="8" t="s">
        <v>64</v>
      </c>
      <c r="D16" s="8" t="s">
        <v>59</v>
      </c>
      <c r="E16" s="10">
        <f>SUM(GastosFixos7188193198203213218223[[#All],[Valor]])</f>
        <v>0</v>
      </c>
      <c r="F16" t="str">
        <f>_xlfn.IFNA(VLOOKUP("Não",GastosFixos7188193198203213218223[Pago?],1,FALSE),"Sim")</f>
        <v>Sim</v>
      </c>
      <c r="G16" s="5"/>
    </row>
    <row r="17" spans="1:7" ht="18.75" customHeight="1" x14ac:dyDescent="0.25">
      <c r="A17" s="6"/>
      <c r="B17" s="44"/>
      <c r="C17" s="44"/>
      <c r="D17" s="44"/>
      <c r="E17" s="44"/>
      <c r="F17" s="44"/>
      <c r="G17" s="7"/>
    </row>
    <row r="18" spans="1:7" ht="18.75" customHeight="1" x14ac:dyDescent="0.25">
      <c r="A18" s="2"/>
      <c r="B18" s="42" t="s">
        <v>63</v>
      </c>
      <c r="C18" s="42"/>
      <c r="D18" s="42"/>
      <c r="E18" s="42"/>
      <c r="F18" s="42"/>
      <c r="G18" s="3"/>
    </row>
    <row r="19" spans="1:7" x14ac:dyDescent="0.25">
      <c r="A19" s="4"/>
      <c r="B19" t="s">
        <v>50</v>
      </c>
      <c r="C19" t="s">
        <v>51</v>
      </c>
      <c r="D19" t="s">
        <v>52</v>
      </c>
      <c r="E19" t="s">
        <v>53</v>
      </c>
      <c r="F19" t="s">
        <v>54</v>
      </c>
      <c r="G19" s="5"/>
    </row>
    <row r="20" spans="1:7" x14ac:dyDescent="0.25">
      <c r="A20" s="4"/>
      <c r="B20" s="9">
        <f t="shared" ref="B20" ca="1" si="0">TODAY()</f>
        <v>45475</v>
      </c>
      <c r="C20" s="8"/>
      <c r="D20" s="8"/>
      <c r="E20" s="10"/>
      <c r="G20" s="5"/>
    </row>
    <row r="21" spans="1:7" x14ac:dyDescent="0.25">
      <c r="A21" s="4"/>
      <c r="B21" s="9">
        <f ca="1">TODAY()</f>
        <v>45475</v>
      </c>
      <c r="C21" s="8"/>
      <c r="D21" s="8"/>
      <c r="E21" s="10"/>
      <c r="G21" s="5"/>
    </row>
    <row r="22" spans="1:7" x14ac:dyDescent="0.25">
      <c r="A22" s="4"/>
      <c r="B22" s="9">
        <f t="shared" ref="B22:B23" ca="1" si="1">TODAY()</f>
        <v>45475</v>
      </c>
      <c r="C22" s="8"/>
      <c r="D22" s="8"/>
      <c r="E22" s="10"/>
      <c r="G22" s="5"/>
    </row>
    <row r="23" spans="1:7" x14ac:dyDescent="0.25">
      <c r="A23" s="4"/>
      <c r="B23" s="9">
        <f t="shared" ca="1" si="1"/>
        <v>45475</v>
      </c>
      <c r="C23" s="8"/>
      <c r="D23" s="8"/>
      <c r="E23" s="10"/>
      <c r="G23" s="5"/>
    </row>
    <row r="24" spans="1:7" x14ac:dyDescent="0.25">
      <c r="A24" s="4"/>
      <c r="B24" s="9"/>
      <c r="C24" s="8" t="s">
        <v>65</v>
      </c>
      <c r="D24" s="8" t="s">
        <v>59</v>
      </c>
      <c r="E24" s="10">
        <f>SUM(GastosVariadosEssenciais9189194199204214219224[[#All],[Valor]])</f>
        <v>0</v>
      </c>
      <c r="F24" t="str">
        <f>_xlfn.IFNA(VLOOKUP("Não",GastosVariadosEssenciais9189194199204214219224[Pago?],1,FALSE),"Sim")</f>
        <v>Sim</v>
      </c>
      <c r="G24" s="5"/>
    </row>
    <row r="25" spans="1:7" x14ac:dyDescent="0.25">
      <c r="A25" s="6"/>
      <c r="B25" s="44"/>
      <c r="C25" s="44"/>
      <c r="D25" s="44"/>
      <c r="E25" s="44"/>
      <c r="F25" s="44"/>
      <c r="G25" s="7"/>
    </row>
    <row r="26" spans="1:7" x14ac:dyDescent="0.25">
      <c r="A26" s="2"/>
      <c r="B26" s="42" t="s">
        <v>67</v>
      </c>
      <c r="C26" s="42"/>
      <c r="D26" s="42"/>
      <c r="E26" s="42"/>
      <c r="F26" s="42"/>
      <c r="G26" s="3"/>
    </row>
    <row r="27" spans="1:7" x14ac:dyDescent="0.25">
      <c r="A27" s="4"/>
      <c r="B27" t="s">
        <v>50</v>
      </c>
      <c r="C27" t="s">
        <v>51</v>
      </c>
      <c r="D27" t="s">
        <v>52</v>
      </c>
      <c r="E27" t="s">
        <v>53</v>
      </c>
      <c r="F27" t="s">
        <v>54</v>
      </c>
      <c r="G27" s="5"/>
    </row>
    <row r="28" spans="1:7" x14ac:dyDescent="0.25">
      <c r="A28" s="4"/>
      <c r="B28" s="9">
        <v>45463</v>
      </c>
      <c r="C28" s="8"/>
      <c r="D28" s="8"/>
      <c r="E28" s="10"/>
      <c r="G28" s="5"/>
    </row>
    <row r="29" spans="1:7" x14ac:dyDescent="0.25">
      <c r="A29" s="4"/>
      <c r="B29" s="9">
        <v>45463</v>
      </c>
      <c r="C29" s="8"/>
      <c r="D29" s="8"/>
      <c r="E29" s="10"/>
      <c r="G29" s="5"/>
    </row>
    <row r="30" spans="1:7" x14ac:dyDescent="0.25">
      <c r="A30" s="4"/>
      <c r="B30" s="9">
        <v>45463</v>
      </c>
      <c r="C30" s="8"/>
      <c r="D30" s="8"/>
      <c r="E30" s="10"/>
      <c r="G30" s="5"/>
    </row>
    <row r="31" spans="1:7" x14ac:dyDescent="0.25">
      <c r="A31" s="4"/>
      <c r="B31" s="9">
        <v>45468</v>
      </c>
      <c r="C31" s="8"/>
      <c r="D31" s="8"/>
      <c r="E31" s="10"/>
      <c r="G31" s="5"/>
    </row>
    <row r="32" spans="1:7" x14ac:dyDescent="0.25">
      <c r="A32" s="4"/>
      <c r="B32" s="9">
        <v>45463</v>
      </c>
      <c r="C32" s="8"/>
      <c r="D32" s="8"/>
      <c r="E32" s="10"/>
      <c r="G32" s="5"/>
    </row>
    <row r="33" spans="1:7" x14ac:dyDescent="0.25">
      <c r="A33" s="4"/>
      <c r="B33" s="9"/>
      <c r="C33" s="8" t="s">
        <v>71</v>
      </c>
      <c r="D33" s="8" t="s">
        <v>59</v>
      </c>
      <c r="E33" s="10">
        <f>SUM(GastosVariadosNãoEssenciais10190195200205215220225[[#All],[Valor]])</f>
        <v>0</v>
      </c>
      <c r="F33" t="str">
        <f>_xlfn.IFNA(VLOOKUP("Não",GastosVariadosNãoEssenciais10190195200205215220225[Pago?],1,FALSE),"Sim")</f>
        <v>Sim</v>
      </c>
      <c r="G33" s="5"/>
    </row>
    <row r="34" spans="1:7" x14ac:dyDescent="0.25">
      <c r="A34" s="4"/>
      <c r="B34" s="41"/>
      <c r="C34" s="41"/>
      <c r="D34" s="41"/>
      <c r="E34" s="41"/>
      <c r="F34" s="41"/>
      <c r="G34" s="5"/>
    </row>
    <row r="35" spans="1:7" x14ac:dyDescent="0.25">
      <c r="A35" s="2"/>
      <c r="B35" s="12"/>
      <c r="C35" s="42" t="s">
        <v>80</v>
      </c>
      <c r="D35" s="42"/>
      <c r="E35" s="42"/>
      <c r="F35" s="12"/>
      <c r="G35" s="3"/>
    </row>
    <row r="36" spans="1:7" x14ac:dyDescent="0.25">
      <c r="A36" s="4"/>
      <c r="B36" s="11"/>
      <c r="C36" t="s">
        <v>81</v>
      </c>
      <c r="D36" t="s">
        <v>84</v>
      </c>
      <c r="E36" t="s">
        <v>53</v>
      </c>
      <c r="F36" s="11"/>
      <c r="G36" s="5"/>
    </row>
    <row r="37" spans="1:7" x14ac:dyDescent="0.25">
      <c r="A37" s="4"/>
      <c r="B37" s="11"/>
      <c r="C37" s="15" t="s">
        <v>82</v>
      </c>
      <c r="D37" s="15"/>
      <c r="E37" s="15">
        <f>RendaTotal</f>
        <v>0</v>
      </c>
      <c r="F37" s="11"/>
      <c r="G37" s="5"/>
    </row>
    <row r="38" spans="1:7" x14ac:dyDescent="0.25">
      <c r="A38" s="4"/>
      <c r="B38" s="11"/>
      <c r="C38" s="16" t="s">
        <v>64</v>
      </c>
      <c r="D38" s="16"/>
      <c r="E38" s="16">
        <f>FixosTotais</f>
        <v>0</v>
      </c>
      <c r="F38" s="11"/>
      <c r="G38" s="5"/>
    </row>
    <row r="39" spans="1:7" x14ac:dyDescent="0.25">
      <c r="A39" s="4"/>
      <c r="B39" s="11"/>
      <c r="C39" s="16" t="s">
        <v>86</v>
      </c>
      <c r="D39" s="16"/>
      <c r="E39" s="16">
        <f>EssenciaisTotais</f>
        <v>0</v>
      </c>
      <c r="F39" s="11"/>
      <c r="G39" s="5"/>
    </row>
    <row r="40" spans="1:7" x14ac:dyDescent="0.25">
      <c r="A40" s="4"/>
      <c r="B40" s="11"/>
      <c r="C40" s="17" t="s">
        <v>87</v>
      </c>
      <c r="D40" s="17"/>
      <c r="E40" s="17">
        <f>NãoEssenciaisTotais</f>
        <v>0</v>
      </c>
      <c r="F40" s="11"/>
      <c r="G40" s="5"/>
    </row>
    <row r="41" spans="1:7" x14ac:dyDescent="0.25">
      <c r="A41" s="4"/>
      <c r="B41" s="11"/>
      <c r="C41" s="10" t="s">
        <v>83</v>
      </c>
      <c r="D41" s="10"/>
      <c r="E41" s="10">
        <f>E37-SUM(E38:E40)</f>
        <v>0</v>
      </c>
      <c r="F41" s="11"/>
      <c r="G41" s="5"/>
    </row>
    <row r="42" spans="1:7" x14ac:dyDescent="0.25">
      <c r="A42" s="6"/>
      <c r="B42" s="13"/>
      <c r="C42" s="13"/>
      <c r="D42" s="13"/>
      <c r="E42" s="13"/>
      <c r="F42" s="13"/>
      <c r="G42" s="7"/>
    </row>
  </sheetData>
  <dataConsolidate/>
  <mergeCells count="9">
    <mergeCell ref="B26:F26"/>
    <mergeCell ref="B34:F34"/>
    <mergeCell ref="C35:E35"/>
    <mergeCell ref="A1:G1"/>
    <mergeCell ref="C2:E2"/>
    <mergeCell ref="B9:F9"/>
    <mergeCell ref="B17:F17"/>
    <mergeCell ref="B18:F18"/>
    <mergeCell ref="B25:F25"/>
  </mergeCells>
  <conditionalFormatting sqref="E41">
    <cfRule type="cellIs" dxfId="156" priority="1" operator="lessThanOrEqual">
      <formula>0</formula>
    </cfRule>
    <cfRule type="cellIs" dxfId="155" priority="2" operator="between">
      <formula>100</formula>
      <formula>0</formula>
    </cfRule>
  </conditionalFormatting>
  <dataValidations count="2">
    <dataValidation type="list" allowBlank="1" showInputMessage="1" showErrorMessage="1" sqref="D11:D15 D20:D23 D28:D32" xr:uid="{404602A7-511B-4113-89E8-AFFAF1355A15}">
      <formula1>Tipos</formula1>
    </dataValidation>
    <dataValidation type="date" allowBlank="1" showInputMessage="1" showErrorMessage="1" sqref="B11:B15 B20:B23 B28:B32 B4:B6" xr:uid="{0DA93037-01C3-4B76-BBF6-2E27C37A794F}">
      <formula1>43831</formula1>
      <formula2>73415</formula2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OcultarGraficos">
                <anchor moveWithCells="1">
                  <from>
                    <xdr:col>14</xdr:col>
                    <xdr:colOff>9525</xdr:colOff>
                    <xdr:row>3</xdr:row>
                    <xdr:rowOff>180975</xdr:rowOff>
                  </from>
                  <to>
                    <xdr:col>20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ExibirGraficos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19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D339413C-04D7-429D-B3D3-23692A75C76B}">
            <xm:f>NOT(ISERROR(SEARCH('Tipos de Gastos'!$K$1,D3)))</xm:f>
            <xm:f>'Tipos de Gastos'!$K$1</xm:f>
            <x14:dxf>
              <fill>
                <patternFill>
                  <bgColor rgb="FFDAADA6"/>
                </patternFill>
              </fill>
            </x14:dxf>
          </x14:cfRule>
          <x14:cfRule type="containsText" priority="6" operator="containsText" id="{6CDBEEC7-10B8-41E5-957B-AF3776B1C2F6}">
            <xm:f>NOT(ISERROR(SEARCH('Tipos de Gastos'!$J$1,D3)))</xm:f>
            <xm:f>'Tipos de Gastos'!$J$1</xm:f>
            <x14:dxf>
              <fill>
                <patternFill>
                  <bgColor rgb="FFB2B2B2"/>
                </patternFill>
              </fill>
            </x14:dxf>
          </x14:cfRule>
          <x14:cfRule type="containsText" priority="7" operator="containsText" id="{73EAFFB1-1118-4057-9D03-D6EF0D130065}">
            <xm:f>NOT(ISERROR(SEARCH('Tipos de Gastos'!$I$1,D3)))</xm:f>
            <xm:f>'Tipos de Gastos'!$I$1</xm:f>
            <x14:dxf>
              <fill>
                <patternFill>
                  <bgColor rgb="FF00FF99"/>
                </patternFill>
              </fill>
            </x14:dxf>
          </x14:cfRule>
          <x14:cfRule type="containsText" priority="8" operator="containsText" id="{F03CCF39-219F-442C-B21A-CA0E882E646E}">
            <xm:f>NOT(ISERROR(SEARCH('Tipos de Gastos'!$H$1,D3)))</xm:f>
            <xm:f>'Tipos de Gastos'!$H$1</xm:f>
            <x14:dxf>
              <fill>
                <patternFill>
                  <bgColor rgb="FFCC99FF"/>
                </patternFill>
              </fill>
            </x14:dxf>
          </x14:cfRule>
          <x14:cfRule type="containsText" priority="9" operator="containsText" id="{40F7935B-3B92-451B-8B39-EE2D8FDCC041}">
            <xm:f>NOT(ISERROR(SEARCH('Tipos de Gastos'!$G$1,D3)))</xm:f>
            <xm:f>'Tipos de Gastos'!$G$1</xm:f>
            <x14:dxf>
              <fill>
                <patternFill>
                  <bgColor rgb="FF66FFCC"/>
                </patternFill>
              </fill>
            </x14:dxf>
          </x14:cfRule>
          <x14:cfRule type="containsText" priority="10" operator="containsText" id="{9BE96877-733E-4C97-AC48-523A0957F3EE}">
            <xm:f>NOT(ISERROR(SEARCH('Tipos de Gastos'!$F$1,D3)))</xm:f>
            <xm:f>'Tipos de Gastos'!$F$1</xm:f>
            <x14:dxf>
              <fill>
                <patternFill>
                  <bgColor rgb="FF66FF66"/>
                </patternFill>
              </fill>
            </x14:dxf>
          </x14:cfRule>
          <x14:cfRule type="containsText" priority="11" operator="containsText" id="{91DF29D9-F52C-4FC9-8A3A-38E8CE943894}">
            <xm:f>NOT(ISERROR(SEARCH('Tipos de Gastos'!$E$1,D3)))</xm:f>
            <xm:f>'Tipos de Gastos'!$E$1</xm:f>
            <x14:dxf>
              <fill>
                <patternFill>
                  <bgColor rgb="FFCCFF33"/>
                </patternFill>
              </fill>
            </x14:dxf>
          </x14:cfRule>
          <x14:cfRule type="containsText" priority="12" operator="containsText" id="{C14E4ADD-5E80-4E91-AADC-9BB9A7658FD1}">
            <xm:f>NOT(ISERROR(SEARCH('Tipos de Gastos'!$D$1,D3)))</xm:f>
            <xm:f>'Tipos de Gastos'!$D$1</xm:f>
            <x14:dxf>
              <fill>
                <patternFill>
                  <bgColor rgb="FFFF7C80"/>
                </patternFill>
              </fill>
            </x14:dxf>
          </x14:cfRule>
          <x14:cfRule type="containsText" priority="13" operator="containsText" id="{CB2E05FB-A87D-449C-88AF-66D80D330F8D}">
            <xm:f>NOT(ISERROR(SEARCH('Tipos de Gastos'!$C$1,D3)))</xm:f>
            <xm:f>'Tipos de Gastos'!$C$1</xm:f>
            <x14:dxf>
              <fill>
                <patternFill>
                  <bgColor rgb="FFFFCC66"/>
                </patternFill>
              </fill>
            </x14:dxf>
          </x14:cfRule>
          <x14:cfRule type="containsText" priority="14" operator="containsText" id="{210A5CC0-3580-463B-BC89-A206132B06FE}">
            <xm:f>NOT(ISERROR(SEARCH('Tipos de Gastos'!$B$1,D3)))</xm:f>
            <xm:f>'Tipos de Gastos'!$B$1</xm:f>
            <x14:dxf>
              <fill>
                <patternFill>
                  <bgColor rgb="FFFFFF66"/>
                </patternFill>
              </fill>
            </x14:dxf>
          </x14:cfRule>
          <x14:cfRule type="containsText" priority="15" operator="containsText" id="{3BB97482-744B-4373-9F99-7DA5826A18D7}">
            <xm:f>NOT(ISERROR(SEARCH('Tipos de Gastos'!$A$1,D3)))</xm:f>
            <xm:f>'Tipos de Gastos'!$A$1</xm:f>
            <x14:dxf>
              <fill>
                <patternFill patternType="solid">
                  <bgColor rgb="FFCC99FF"/>
                </patternFill>
              </fill>
            </x14:dxf>
          </x14:cfRule>
          <xm:sqref>D3 D7:D34 E37:E41 D42:D1048576</xm:sqref>
        </x14:conditionalFormatting>
        <x14:conditionalFormatting xmlns:xm="http://schemas.microsoft.com/office/excel/2006/main">
          <x14:cfRule type="containsText" priority="3" operator="containsText" id="{0F81E7C9-F70A-455B-9A46-B34348E0C33E}">
            <xm:f>NOT(ISERROR(SEARCH('Variáveis de Seleção'!$A$2,B2)))</xm:f>
            <xm:f>'Variáveis de Seleção'!$A$2</xm:f>
            <x14:dxf>
              <font>
                <u val="double"/>
              </font>
              <fill>
                <patternFill>
                  <bgColor rgb="FF92D050"/>
                </patternFill>
              </fill>
            </x14:dxf>
          </x14:cfRule>
          <xm:sqref>E36:E41 C2 F2 B3:F3 B4:C6 E4:F6 B7:F34 B35:C41 F35:F41 B42:F1048576</xm:sqref>
        </x14:conditionalFormatting>
        <x14:conditionalFormatting xmlns:xm="http://schemas.microsoft.com/office/excel/2006/main">
          <x14:cfRule type="containsText" priority="4" operator="containsText" id="{89948910-9742-4D57-BC76-B993A93F3E4E}">
            <xm:f>NOT(ISERROR(SEARCH('Variáveis de Seleção'!$A$3,F2)))</xm:f>
            <xm:f>'Variáveis de Seleção'!$A$3</xm:f>
            <x14:dxf>
              <font>
                <b val="0"/>
                <i val="0"/>
                <u val="double"/>
                <color auto="1"/>
              </font>
              <fill>
                <patternFill patternType="solid">
                  <bgColor rgb="FFFFFF00"/>
                </patternFill>
              </fill>
            </x14:dxf>
          </x14:cfRule>
          <xm:sqref>F2:F1048576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8071177-5EB1-4800-B03E-177DBE3EA560}">
          <x14:formula1>
            <xm:f>'Variáveis de Seleção'!$A$2:$A$3</xm:f>
          </x14:formula1>
          <xm:sqref>F11:F15 F20:F23 F28:F32 F4:F6</xm:sqref>
        </x14:dataValidation>
        <x14:dataValidation type="list" allowBlank="1" showInputMessage="1" showErrorMessage="1" xr:uid="{0C501186-044A-4F58-ADDB-25B87C6E10DF}">
          <x14:formula1>
            <xm:f>'Variáveis de Seleção'!$B$2:$B$4</xm:f>
          </x14:formula1>
          <xm:sqref>D4:D6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01FA7-5EF8-4687-BD7A-93FC2C5334B9}">
  <sheetPr codeName="Planilha14"/>
  <dimension ref="A1:G42"/>
  <sheetViews>
    <sheetView showGridLines="0" topLeftCell="A7" zoomScaleNormal="100" workbookViewId="0">
      <selection activeCell="E12" sqref="E12"/>
    </sheetView>
  </sheetViews>
  <sheetFormatPr defaultRowHeight="15" x14ac:dyDescent="0.25"/>
  <cols>
    <col min="1" max="1" width="3.5703125" customWidth="1"/>
    <col min="2" max="2" width="10.7109375" customWidth="1"/>
    <col min="3" max="3" width="22.140625" customWidth="1"/>
    <col min="4" max="4" width="20.28515625" customWidth="1"/>
    <col min="5" max="5" width="12.140625" bestFit="1" customWidth="1"/>
    <col min="7" max="7" width="3.5703125" customWidth="1"/>
  </cols>
  <sheetData>
    <row r="1" spans="1:7" x14ac:dyDescent="0.25">
      <c r="A1" s="45" t="s">
        <v>101</v>
      </c>
      <c r="B1" s="45"/>
      <c r="C1" s="45"/>
      <c r="D1" s="45"/>
      <c r="E1" s="45"/>
      <c r="F1" s="45"/>
      <c r="G1" s="45"/>
    </row>
    <row r="2" spans="1:7" x14ac:dyDescent="0.25">
      <c r="A2" s="2"/>
      <c r="B2" s="11"/>
      <c r="C2" s="42" t="s">
        <v>72</v>
      </c>
      <c r="D2" s="42"/>
      <c r="E2" s="42"/>
      <c r="F2" s="12"/>
      <c r="G2" s="3"/>
    </row>
    <row r="3" spans="1:7" x14ac:dyDescent="0.25">
      <c r="A3" s="4"/>
      <c r="B3" s="11"/>
      <c r="C3" t="s">
        <v>51</v>
      </c>
      <c r="D3" t="s">
        <v>52</v>
      </c>
      <c r="E3" t="s">
        <v>53</v>
      </c>
      <c r="F3" s="11"/>
      <c r="G3" s="5"/>
    </row>
    <row r="4" spans="1:7" x14ac:dyDescent="0.25">
      <c r="A4" s="4"/>
      <c r="B4" s="14"/>
      <c r="C4" s="8" t="s">
        <v>76</v>
      </c>
      <c r="D4" s="8" t="s">
        <v>79</v>
      </c>
      <c r="E4" s="10"/>
      <c r="F4" s="11"/>
      <c r="G4" s="5"/>
    </row>
    <row r="5" spans="1:7" x14ac:dyDescent="0.25">
      <c r="A5" s="4"/>
      <c r="B5" s="14"/>
      <c r="C5" s="8" t="s">
        <v>77</v>
      </c>
      <c r="D5" s="8" t="s">
        <v>74</v>
      </c>
      <c r="E5" s="10"/>
      <c r="F5" s="11"/>
      <c r="G5" s="5"/>
    </row>
    <row r="6" spans="1:7" x14ac:dyDescent="0.25">
      <c r="A6" s="4"/>
      <c r="B6" s="14"/>
      <c r="C6" s="8" t="s">
        <v>78</v>
      </c>
      <c r="D6" s="8" t="s">
        <v>75</v>
      </c>
      <c r="E6" s="10"/>
      <c r="F6" s="11"/>
      <c r="G6" s="5"/>
    </row>
    <row r="7" spans="1:7" x14ac:dyDescent="0.25">
      <c r="A7" s="4"/>
      <c r="B7" s="14"/>
      <c r="C7" s="8"/>
      <c r="D7" s="8" t="s">
        <v>59</v>
      </c>
      <c r="E7" s="10">
        <f>SUM(Entrada11191196201206216221226231[Valor])</f>
        <v>0</v>
      </c>
      <c r="F7" s="11"/>
      <c r="G7" s="5"/>
    </row>
    <row r="8" spans="1:7" x14ac:dyDescent="0.25">
      <c r="A8" s="6"/>
      <c r="B8" s="13"/>
      <c r="C8" s="13"/>
      <c r="D8" s="13"/>
      <c r="E8" s="13"/>
      <c r="F8" s="13"/>
      <c r="G8" s="7"/>
    </row>
    <row r="9" spans="1:7" ht="18.75" customHeight="1" x14ac:dyDescent="0.25">
      <c r="A9" s="2"/>
      <c r="B9" s="42" t="s">
        <v>49</v>
      </c>
      <c r="C9" s="42"/>
      <c r="D9" s="42"/>
      <c r="E9" s="42"/>
      <c r="F9" s="42"/>
      <c r="G9" s="3"/>
    </row>
    <row r="10" spans="1:7" x14ac:dyDescent="0.25">
      <c r="A10" s="4"/>
      <c r="B10" t="s">
        <v>50</v>
      </c>
      <c r="C10" t="s">
        <v>51</v>
      </c>
      <c r="D10" t="s">
        <v>52</v>
      </c>
      <c r="E10" t="s">
        <v>53</v>
      </c>
      <c r="F10" t="s">
        <v>54</v>
      </c>
      <c r="G10" s="5"/>
    </row>
    <row r="11" spans="1:7" x14ac:dyDescent="0.25">
      <c r="A11" s="4"/>
      <c r="B11" s="9">
        <v>45453</v>
      </c>
      <c r="C11" s="8"/>
      <c r="D11" s="8"/>
      <c r="E11" s="10"/>
      <c r="G11" s="5"/>
    </row>
    <row r="12" spans="1:7" x14ac:dyDescent="0.25">
      <c r="A12" s="4"/>
      <c r="B12" s="9">
        <v>45453</v>
      </c>
      <c r="C12" s="8"/>
      <c r="D12" s="8"/>
      <c r="E12" s="10"/>
      <c r="G12" s="5"/>
    </row>
    <row r="13" spans="1:7" x14ac:dyDescent="0.25">
      <c r="A13" s="4"/>
      <c r="B13" s="9">
        <v>45458</v>
      </c>
      <c r="C13" s="8"/>
      <c r="D13" s="8"/>
      <c r="E13" s="10"/>
      <c r="G13" s="5"/>
    </row>
    <row r="14" spans="1:7" x14ac:dyDescent="0.25">
      <c r="A14" s="4"/>
      <c r="B14" s="9">
        <v>45463</v>
      </c>
      <c r="C14" s="8"/>
      <c r="D14" s="8"/>
      <c r="E14" s="10"/>
      <c r="G14" s="5"/>
    </row>
    <row r="15" spans="1:7" x14ac:dyDescent="0.25">
      <c r="A15" s="4"/>
      <c r="B15" s="9">
        <v>45451</v>
      </c>
      <c r="C15" s="8"/>
      <c r="D15" s="8"/>
      <c r="E15" s="10"/>
      <c r="G15" s="5"/>
    </row>
    <row r="16" spans="1:7" ht="18.75" customHeight="1" x14ac:dyDescent="0.25">
      <c r="A16" s="4"/>
      <c r="B16" s="9"/>
      <c r="C16" s="8" t="s">
        <v>64</v>
      </c>
      <c r="D16" s="8" t="s">
        <v>59</v>
      </c>
      <c r="E16" s="10">
        <f>SUM(GastosFixos7188193198203213218223228[[#All],[Valor]])</f>
        <v>0</v>
      </c>
      <c r="F16" t="str">
        <f>_xlfn.IFNA(VLOOKUP("Não",GastosFixos7188193198203213218223228[Pago?],1,FALSE),"Sim")</f>
        <v>Sim</v>
      </c>
      <c r="G16" s="5"/>
    </row>
    <row r="17" spans="1:7" ht="18.75" customHeight="1" x14ac:dyDescent="0.25">
      <c r="A17" s="6"/>
      <c r="B17" s="44"/>
      <c r="C17" s="44"/>
      <c r="D17" s="44"/>
      <c r="E17" s="44"/>
      <c r="F17" s="44"/>
      <c r="G17" s="7"/>
    </row>
    <row r="18" spans="1:7" ht="18.75" customHeight="1" x14ac:dyDescent="0.25">
      <c r="A18" s="2"/>
      <c r="B18" s="42" t="s">
        <v>63</v>
      </c>
      <c r="C18" s="42"/>
      <c r="D18" s="42"/>
      <c r="E18" s="42"/>
      <c r="F18" s="42"/>
      <c r="G18" s="3"/>
    </row>
    <row r="19" spans="1:7" x14ac:dyDescent="0.25">
      <c r="A19" s="4"/>
      <c r="B19" t="s">
        <v>50</v>
      </c>
      <c r="C19" t="s">
        <v>51</v>
      </c>
      <c r="D19" t="s">
        <v>52</v>
      </c>
      <c r="E19" t="s">
        <v>53</v>
      </c>
      <c r="F19" t="s">
        <v>54</v>
      </c>
      <c r="G19" s="5"/>
    </row>
    <row r="20" spans="1:7" x14ac:dyDescent="0.25">
      <c r="A20" s="4"/>
      <c r="B20" s="9">
        <f t="shared" ref="B20" ca="1" si="0">TODAY()</f>
        <v>45475</v>
      </c>
      <c r="C20" s="8"/>
      <c r="D20" s="8"/>
      <c r="E20" s="10"/>
      <c r="G20" s="5"/>
    </row>
    <row r="21" spans="1:7" x14ac:dyDescent="0.25">
      <c r="A21" s="4"/>
      <c r="B21" s="9">
        <f ca="1">TODAY()</f>
        <v>45475</v>
      </c>
      <c r="C21" s="8"/>
      <c r="D21" s="8"/>
      <c r="E21" s="10"/>
      <c r="G21" s="5"/>
    </row>
    <row r="22" spans="1:7" x14ac:dyDescent="0.25">
      <c r="A22" s="4"/>
      <c r="B22" s="9">
        <f t="shared" ref="B22:B23" ca="1" si="1">TODAY()</f>
        <v>45475</v>
      </c>
      <c r="C22" s="8"/>
      <c r="D22" s="8"/>
      <c r="E22" s="10"/>
      <c r="G22" s="5"/>
    </row>
    <row r="23" spans="1:7" x14ac:dyDescent="0.25">
      <c r="A23" s="4"/>
      <c r="B23" s="9">
        <f t="shared" ca="1" si="1"/>
        <v>45475</v>
      </c>
      <c r="C23" s="8"/>
      <c r="D23" s="8"/>
      <c r="E23" s="10"/>
      <c r="G23" s="5"/>
    </row>
    <row r="24" spans="1:7" x14ac:dyDescent="0.25">
      <c r="A24" s="4"/>
      <c r="B24" s="9"/>
      <c r="C24" s="8" t="s">
        <v>65</v>
      </c>
      <c r="D24" s="8" t="s">
        <v>59</v>
      </c>
      <c r="E24" s="10">
        <f>SUM(GastosVariadosEssenciais9189194199204214219224229[[#All],[Valor]])</f>
        <v>0</v>
      </c>
      <c r="F24" t="str">
        <f>_xlfn.IFNA(VLOOKUP("Não",GastosVariadosEssenciais9189194199204214219224229[Pago?],1,FALSE),"Sim")</f>
        <v>Sim</v>
      </c>
      <c r="G24" s="5"/>
    </row>
    <row r="25" spans="1:7" x14ac:dyDescent="0.25">
      <c r="A25" s="6"/>
      <c r="B25" s="44"/>
      <c r="C25" s="44"/>
      <c r="D25" s="44"/>
      <c r="E25" s="44"/>
      <c r="F25" s="44"/>
      <c r="G25" s="7"/>
    </row>
    <row r="26" spans="1:7" x14ac:dyDescent="0.25">
      <c r="A26" s="2"/>
      <c r="B26" s="42" t="s">
        <v>67</v>
      </c>
      <c r="C26" s="42"/>
      <c r="D26" s="42"/>
      <c r="E26" s="42"/>
      <c r="F26" s="42"/>
      <c r="G26" s="3"/>
    </row>
    <row r="27" spans="1:7" x14ac:dyDescent="0.25">
      <c r="A27" s="4"/>
      <c r="B27" t="s">
        <v>50</v>
      </c>
      <c r="C27" t="s">
        <v>51</v>
      </c>
      <c r="D27" t="s">
        <v>52</v>
      </c>
      <c r="E27" t="s">
        <v>53</v>
      </c>
      <c r="F27" t="s">
        <v>54</v>
      </c>
      <c r="G27" s="5"/>
    </row>
    <row r="28" spans="1:7" x14ac:dyDescent="0.25">
      <c r="A28" s="4"/>
      <c r="B28" s="9">
        <v>45463</v>
      </c>
      <c r="C28" s="8"/>
      <c r="D28" s="8"/>
      <c r="E28" s="10"/>
      <c r="G28" s="5"/>
    </row>
    <row r="29" spans="1:7" x14ac:dyDescent="0.25">
      <c r="A29" s="4"/>
      <c r="B29" s="9">
        <v>45463</v>
      </c>
      <c r="C29" s="8"/>
      <c r="D29" s="8"/>
      <c r="E29" s="10"/>
      <c r="G29" s="5"/>
    </row>
    <row r="30" spans="1:7" x14ac:dyDescent="0.25">
      <c r="A30" s="4"/>
      <c r="B30" s="9">
        <v>45463</v>
      </c>
      <c r="C30" s="8"/>
      <c r="D30" s="8"/>
      <c r="E30" s="10"/>
      <c r="G30" s="5"/>
    </row>
    <row r="31" spans="1:7" x14ac:dyDescent="0.25">
      <c r="A31" s="4"/>
      <c r="B31" s="9">
        <v>45468</v>
      </c>
      <c r="C31" s="8"/>
      <c r="D31" s="8"/>
      <c r="E31" s="10"/>
      <c r="G31" s="5"/>
    </row>
    <row r="32" spans="1:7" x14ac:dyDescent="0.25">
      <c r="A32" s="4"/>
      <c r="B32" s="9">
        <v>45463</v>
      </c>
      <c r="C32" s="8"/>
      <c r="D32" s="8"/>
      <c r="E32" s="10"/>
      <c r="G32" s="5"/>
    </row>
    <row r="33" spans="1:7" x14ac:dyDescent="0.25">
      <c r="A33" s="4"/>
      <c r="B33" s="9"/>
      <c r="C33" s="8" t="s">
        <v>71</v>
      </c>
      <c r="D33" s="8" t="s">
        <v>59</v>
      </c>
      <c r="E33" s="10">
        <f>SUM(GastosVariadosNãoEssenciais10190195200205215220225230[[#All],[Valor]])</f>
        <v>0</v>
      </c>
      <c r="F33" t="str">
        <f>_xlfn.IFNA(VLOOKUP("Não",GastosVariadosNãoEssenciais10190195200205215220225230[Pago?],1,FALSE),"Sim")</f>
        <v>Sim</v>
      </c>
      <c r="G33" s="5"/>
    </row>
    <row r="34" spans="1:7" x14ac:dyDescent="0.25">
      <c r="A34" s="4"/>
      <c r="B34" s="41"/>
      <c r="C34" s="41"/>
      <c r="D34" s="41"/>
      <c r="E34" s="41"/>
      <c r="F34" s="41"/>
      <c r="G34" s="5"/>
    </row>
    <row r="35" spans="1:7" x14ac:dyDescent="0.25">
      <c r="A35" s="2"/>
      <c r="B35" s="12"/>
      <c r="C35" s="42" t="s">
        <v>80</v>
      </c>
      <c r="D35" s="42"/>
      <c r="E35" s="42"/>
      <c r="F35" s="12"/>
      <c r="G35" s="3"/>
    </row>
    <row r="36" spans="1:7" x14ac:dyDescent="0.25">
      <c r="A36" s="4"/>
      <c r="B36" s="11"/>
      <c r="C36" t="s">
        <v>81</v>
      </c>
      <c r="D36" t="s">
        <v>84</v>
      </c>
      <c r="E36" t="s">
        <v>53</v>
      </c>
      <c r="F36" s="11"/>
      <c r="G36" s="5"/>
    </row>
    <row r="37" spans="1:7" x14ac:dyDescent="0.25">
      <c r="A37" s="4"/>
      <c r="B37" s="11"/>
      <c r="C37" s="15" t="s">
        <v>82</v>
      </c>
      <c r="D37" s="15"/>
      <c r="E37" s="15">
        <f>RendaTotal</f>
        <v>0</v>
      </c>
      <c r="F37" s="11"/>
      <c r="G37" s="5"/>
    </row>
    <row r="38" spans="1:7" x14ac:dyDescent="0.25">
      <c r="A38" s="4"/>
      <c r="B38" s="11"/>
      <c r="C38" s="16" t="s">
        <v>64</v>
      </c>
      <c r="D38" s="16"/>
      <c r="E38" s="16">
        <f>FixosTotais</f>
        <v>0</v>
      </c>
      <c r="F38" s="11"/>
      <c r="G38" s="5"/>
    </row>
    <row r="39" spans="1:7" x14ac:dyDescent="0.25">
      <c r="A39" s="4"/>
      <c r="B39" s="11"/>
      <c r="C39" s="16" t="s">
        <v>86</v>
      </c>
      <c r="D39" s="16"/>
      <c r="E39" s="16">
        <f>EssenciaisTotais</f>
        <v>0</v>
      </c>
      <c r="F39" s="11"/>
      <c r="G39" s="5"/>
    </row>
    <row r="40" spans="1:7" x14ac:dyDescent="0.25">
      <c r="A40" s="4"/>
      <c r="B40" s="11"/>
      <c r="C40" s="17" t="s">
        <v>87</v>
      </c>
      <c r="D40" s="17"/>
      <c r="E40" s="17">
        <f>NãoEssenciaisTotais</f>
        <v>0</v>
      </c>
      <c r="F40" s="11"/>
      <c r="G40" s="5"/>
    </row>
    <row r="41" spans="1:7" x14ac:dyDescent="0.25">
      <c r="A41" s="4"/>
      <c r="B41" s="11"/>
      <c r="C41" s="10" t="s">
        <v>83</v>
      </c>
      <c r="D41" s="10"/>
      <c r="E41" s="10">
        <f>E37-SUM(E38:E40)</f>
        <v>0</v>
      </c>
      <c r="F41" s="11"/>
      <c r="G41" s="5"/>
    </row>
    <row r="42" spans="1:7" x14ac:dyDescent="0.25">
      <c r="A42" s="6"/>
      <c r="B42" s="13"/>
      <c r="C42" s="13"/>
      <c r="D42" s="13"/>
      <c r="E42" s="13"/>
      <c r="F42" s="13"/>
      <c r="G42" s="7"/>
    </row>
  </sheetData>
  <dataConsolidate/>
  <mergeCells count="9">
    <mergeCell ref="B26:F26"/>
    <mergeCell ref="B34:F34"/>
    <mergeCell ref="C35:E35"/>
    <mergeCell ref="A1:G1"/>
    <mergeCell ref="C2:E2"/>
    <mergeCell ref="B9:F9"/>
    <mergeCell ref="B17:F17"/>
    <mergeCell ref="B18:F18"/>
    <mergeCell ref="B25:F25"/>
  </mergeCells>
  <conditionalFormatting sqref="E41">
    <cfRule type="cellIs" dxfId="120" priority="1" operator="lessThanOrEqual">
      <formula>0</formula>
    </cfRule>
    <cfRule type="cellIs" dxfId="119" priority="2" operator="between">
      <formula>100</formula>
      <formula>0</formula>
    </cfRule>
  </conditionalFormatting>
  <dataValidations count="2">
    <dataValidation type="date" allowBlank="1" showInputMessage="1" showErrorMessage="1" sqref="B11:B15 B20:B23 B28:B32 B4:B6" xr:uid="{9864A763-D6F2-4F73-85D6-0E112496B01F}">
      <formula1>43831</formula1>
      <formula2>73415</formula2>
    </dataValidation>
    <dataValidation type="list" allowBlank="1" showInputMessage="1" showErrorMessage="1" sqref="D11:D15 D20:D23 D28:D32" xr:uid="{766F2ECF-CE57-456C-89EA-A9EA17263A3E}">
      <formula1>Tipos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OcultarGraficos">
                <anchor moveWithCells="1">
                  <from>
                    <xdr:col>14</xdr:col>
                    <xdr:colOff>9525</xdr:colOff>
                    <xdr:row>3</xdr:row>
                    <xdr:rowOff>180975</xdr:rowOff>
                  </from>
                  <to>
                    <xdr:col>20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ExibirGraficos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19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67C95A5E-7588-4FD9-AEFC-16735F77CD3A}">
            <xm:f>NOT(ISERROR(SEARCH('Tipos de Gastos'!$K$1,D3)))</xm:f>
            <xm:f>'Tipos de Gastos'!$K$1</xm:f>
            <x14:dxf>
              <fill>
                <patternFill>
                  <bgColor rgb="FFDAADA6"/>
                </patternFill>
              </fill>
            </x14:dxf>
          </x14:cfRule>
          <x14:cfRule type="containsText" priority="6" operator="containsText" id="{5F0BD799-61B5-4A0B-B5CC-F43AA051C12D}">
            <xm:f>NOT(ISERROR(SEARCH('Tipos de Gastos'!$J$1,D3)))</xm:f>
            <xm:f>'Tipos de Gastos'!$J$1</xm:f>
            <x14:dxf>
              <fill>
                <patternFill>
                  <bgColor rgb="FFB2B2B2"/>
                </patternFill>
              </fill>
            </x14:dxf>
          </x14:cfRule>
          <x14:cfRule type="containsText" priority="7" operator="containsText" id="{DB4531F3-8D8F-45D6-BD41-89FD946E68AB}">
            <xm:f>NOT(ISERROR(SEARCH('Tipos de Gastos'!$I$1,D3)))</xm:f>
            <xm:f>'Tipos de Gastos'!$I$1</xm:f>
            <x14:dxf>
              <fill>
                <patternFill>
                  <bgColor rgb="FF00FF99"/>
                </patternFill>
              </fill>
            </x14:dxf>
          </x14:cfRule>
          <x14:cfRule type="containsText" priority="8" operator="containsText" id="{FCC131A0-D5ED-4DC4-B6E3-3561EA9B89F5}">
            <xm:f>NOT(ISERROR(SEARCH('Tipos de Gastos'!$H$1,D3)))</xm:f>
            <xm:f>'Tipos de Gastos'!$H$1</xm:f>
            <x14:dxf>
              <fill>
                <patternFill>
                  <bgColor rgb="FFCC99FF"/>
                </patternFill>
              </fill>
            </x14:dxf>
          </x14:cfRule>
          <x14:cfRule type="containsText" priority="9" operator="containsText" id="{649A8E26-2E6F-489A-A25A-F7AC0ED725A0}">
            <xm:f>NOT(ISERROR(SEARCH('Tipos de Gastos'!$G$1,D3)))</xm:f>
            <xm:f>'Tipos de Gastos'!$G$1</xm:f>
            <x14:dxf>
              <fill>
                <patternFill>
                  <bgColor rgb="FF66FFCC"/>
                </patternFill>
              </fill>
            </x14:dxf>
          </x14:cfRule>
          <x14:cfRule type="containsText" priority="10" operator="containsText" id="{BBDEDC8A-404C-4D0C-AB46-474CF29313B4}">
            <xm:f>NOT(ISERROR(SEARCH('Tipos de Gastos'!$F$1,D3)))</xm:f>
            <xm:f>'Tipos de Gastos'!$F$1</xm:f>
            <x14:dxf>
              <fill>
                <patternFill>
                  <bgColor rgb="FF66FF66"/>
                </patternFill>
              </fill>
            </x14:dxf>
          </x14:cfRule>
          <x14:cfRule type="containsText" priority="11" operator="containsText" id="{896D25CD-7AE4-40D6-BD78-6937EF3851F5}">
            <xm:f>NOT(ISERROR(SEARCH('Tipos de Gastos'!$E$1,D3)))</xm:f>
            <xm:f>'Tipos de Gastos'!$E$1</xm:f>
            <x14:dxf>
              <fill>
                <patternFill>
                  <bgColor rgb="FFCCFF33"/>
                </patternFill>
              </fill>
            </x14:dxf>
          </x14:cfRule>
          <x14:cfRule type="containsText" priority="12" operator="containsText" id="{A3960B41-E525-4BD8-9F34-E1DF581B44C6}">
            <xm:f>NOT(ISERROR(SEARCH('Tipos de Gastos'!$D$1,D3)))</xm:f>
            <xm:f>'Tipos de Gastos'!$D$1</xm:f>
            <x14:dxf>
              <fill>
                <patternFill>
                  <bgColor rgb="FFFF7C80"/>
                </patternFill>
              </fill>
            </x14:dxf>
          </x14:cfRule>
          <x14:cfRule type="containsText" priority="13" operator="containsText" id="{18B8E4AE-3336-43E9-8D7F-E41F18E6CCC3}">
            <xm:f>NOT(ISERROR(SEARCH('Tipos de Gastos'!$C$1,D3)))</xm:f>
            <xm:f>'Tipos de Gastos'!$C$1</xm:f>
            <x14:dxf>
              <fill>
                <patternFill>
                  <bgColor rgb="FFFFCC66"/>
                </patternFill>
              </fill>
            </x14:dxf>
          </x14:cfRule>
          <x14:cfRule type="containsText" priority="14" operator="containsText" id="{71EDE8F9-C707-487C-BB60-1B2B72469EC8}">
            <xm:f>NOT(ISERROR(SEARCH('Tipos de Gastos'!$B$1,D3)))</xm:f>
            <xm:f>'Tipos de Gastos'!$B$1</xm:f>
            <x14:dxf>
              <fill>
                <patternFill>
                  <bgColor rgb="FFFFFF66"/>
                </patternFill>
              </fill>
            </x14:dxf>
          </x14:cfRule>
          <x14:cfRule type="containsText" priority="15" operator="containsText" id="{66EA7881-7E59-4832-BBBE-459431BC75A7}">
            <xm:f>NOT(ISERROR(SEARCH('Tipos de Gastos'!$A$1,D3)))</xm:f>
            <xm:f>'Tipos de Gastos'!$A$1</xm:f>
            <x14:dxf>
              <fill>
                <patternFill patternType="solid">
                  <bgColor rgb="FFCC99FF"/>
                </patternFill>
              </fill>
            </x14:dxf>
          </x14:cfRule>
          <xm:sqref>D3 D7:D34 E37:E41 D42:D1048576</xm:sqref>
        </x14:conditionalFormatting>
        <x14:conditionalFormatting xmlns:xm="http://schemas.microsoft.com/office/excel/2006/main">
          <x14:cfRule type="containsText" priority="3" operator="containsText" id="{677DE7B0-1A80-4C72-A7F9-602A2A636465}">
            <xm:f>NOT(ISERROR(SEARCH('Variáveis de Seleção'!$A$2,B2)))</xm:f>
            <xm:f>'Variáveis de Seleção'!$A$2</xm:f>
            <x14:dxf>
              <font>
                <u val="double"/>
              </font>
              <fill>
                <patternFill>
                  <bgColor rgb="FF92D050"/>
                </patternFill>
              </fill>
            </x14:dxf>
          </x14:cfRule>
          <xm:sqref>E36:E41 C2 F2 B3:F3 B4:C6 E4:F6 B7:F34 B35:C41 F35:F41 B42:F1048576</xm:sqref>
        </x14:conditionalFormatting>
        <x14:conditionalFormatting xmlns:xm="http://schemas.microsoft.com/office/excel/2006/main">
          <x14:cfRule type="containsText" priority="4" operator="containsText" id="{A8EA43B2-0B3B-4548-ADF5-17C3A08E303D}">
            <xm:f>NOT(ISERROR(SEARCH('Variáveis de Seleção'!$A$3,F2)))</xm:f>
            <xm:f>'Variáveis de Seleção'!$A$3</xm:f>
            <x14:dxf>
              <font>
                <b val="0"/>
                <i val="0"/>
                <u val="double"/>
                <color auto="1"/>
              </font>
              <fill>
                <patternFill patternType="solid">
                  <bgColor rgb="FFFFFF00"/>
                </patternFill>
              </fill>
            </x14:dxf>
          </x14:cfRule>
          <xm:sqref>F2:F1048576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6E0481D-13B6-49B8-B6CE-89561D8741B3}">
          <x14:formula1>
            <xm:f>'Variáveis de Seleção'!$B$2:$B$4</xm:f>
          </x14:formula1>
          <xm:sqref>D4:D6</xm:sqref>
        </x14:dataValidation>
        <x14:dataValidation type="list" allowBlank="1" showInputMessage="1" showErrorMessage="1" xr:uid="{D10D6CBD-74F4-4685-885A-76AD65054E92}">
          <x14:formula1>
            <xm:f>'Variáveis de Seleção'!$A$2:$A$3</xm:f>
          </x14:formula1>
          <xm:sqref>F11:F15 F20:F23 F28:F32 F4:F6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33849-7B7A-416D-8012-1AB7D9A3FE2D}">
  <sheetPr codeName="Planilha15"/>
  <dimension ref="A1:G42"/>
  <sheetViews>
    <sheetView showGridLines="0" topLeftCell="A7" zoomScaleNormal="100" workbookViewId="0">
      <selection activeCell="E12" sqref="E12"/>
    </sheetView>
  </sheetViews>
  <sheetFormatPr defaultRowHeight="15" x14ac:dyDescent="0.25"/>
  <cols>
    <col min="1" max="1" width="3.5703125" customWidth="1"/>
    <col min="2" max="2" width="10.7109375" customWidth="1"/>
    <col min="3" max="3" width="22.140625" customWidth="1"/>
    <col min="4" max="4" width="20.28515625" customWidth="1"/>
    <col min="5" max="5" width="12.140625" bestFit="1" customWidth="1"/>
    <col min="7" max="7" width="3.5703125" customWidth="1"/>
  </cols>
  <sheetData>
    <row r="1" spans="1:7" x14ac:dyDescent="0.25">
      <c r="A1" s="45" t="s">
        <v>102</v>
      </c>
      <c r="B1" s="45"/>
      <c r="C1" s="45"/>
      <c r="D1" s="45"/>
      <c r="E1" s="45"/>
      <c r="F1" s="45"/>
      <c r="G1" s="45"/>
    </row>
    <row r="2" spans="1:7" x14ac:dyDescent="0.25">
      <c r="A2" s="2"/>
      <c r="B2" s="11"/>
      <c r="C2" s="42" t="s">
        <v>72</v>
      </c>
      <c r="D2" s="42"/>
      <c r="E2" s="42"/>
      <c r="F2" s="12"/>
      <c r="G2" s="3"/>
    </row>
    <row r="3" spans="1:7" x14ac:dyDescent="0.25">
      <c r="A3" s="4"/>
      <c r="B3" s="11"/>
      <c r="C3" t="s">
        <v>51</v>
      </c>
      <c r="D3" t="s">
        <v>52</v>
      </c>
      <c r="E3" t="s">
        <v>53</v>
      </c>
      <c r="F3" s="11"/>
      <c r="G3" s="5"/>
    </row>
    <row r="4" spans="1:7" x14ac:dyDescent="0.25">
      <c r="A4" s="4"/>
      <c r="B4" s="14"/>
      <c r="C4" s="8" t="s">
        <v>76</v>
      </c>
      <c r="D4" s="8" t="s">
        <v>79</v>
      </c>
      <c r="E4" s="10"/>
      <c r="F4" s="11"/>
      <c r="G4" s="5"/>
    </row>
    <row r="5" spans="1:7" x14ac:dyDescent="0.25">
      <c r="A5" s="4"/>
      <c r="B5" s="14"/>
      <c r="C5" s="8" t="s">
        <v>77</v>
      </c>
      <c r="D5" s="8" t="s">
        <v>74</v>
      </c>
      <c r="E5" s="10"/>
      <c r="F5" s="11"/>
      <c r="G5" s="5"/>
    </row>
    <row r="6" spans="1:7" x14ac:dyDescent="0.25">
      <c r="A6" s="4"/>
      <c r="B6" s="14"/>
      <c r="C6" s="8" t="s">
        <v>78</v>
      </c>
      <c r="D6" s="8" t="s">
        <v>75</v>
      </c>
      <c r="E6" s="10"/>
      <c r="F6" s="11"/>
      <c r="G6" s="5"/>
    </row>
    <row r="7" spans="1:7" x14ac:dyDescent="0.25">
      <c r="A7" s="4"/>
      <c r="B7" s="14"/>
      <c r="C7" s="8"/>
      <c r="D7" s="8" t="s">
        <v>59</v>
      </c>
      <c r="E7" s="10">
        <f>SUM(Entrada11191196201206216221226231236[Valor])</f>
        <v>0</v>
      </c>
      <c r="F7" s="11"/>
      <c r="G7" s="5"/>
    </row>
    <row r="8" spans="1:7" x14ac:dyDescent="0.25">
      <c r="A8" s="6"/>
      <c r="B8" s="13"/>
      <c r="C8" s="13"/>
      <c r="D8" s="13"/>
      <c r="E8" s="13"/>
      <c r="F8" s="13"/>
      <c r="G8" s="7"/>
    </row>
    <row r="9" spans="1:7" ht="18.75" customHeight="1" x14ac:dyDescent="0.25">
      <c r="A9" s="2"/>
      <c r="B9" s="42" t="s">
        <v>49</v>
      </c>
      <c r="C9" s="42"/>
      <c r="D9" s="42"/>
      <c r="E9" s="42"/>
      <c r="F9" s="42"/>
      <c r="G9" s="3"/>
    </row>
    <row r="10" spans="1:7" x14ac:dyDescent="0.25">
      <c r="A10" s="4"/>
      <c r="B10" t="s">
        <v>50</v>
      </c>
      <c r="C10" t="s">
        <v>51</v>
      </c>
      <c r="D10" t="s">
        <v>52</v>
      </c>
      <c r="E10" t="s">
        <v>53</v>
      </c>
      <c r="F10" t="s">
        <v>54</v>
      </c>
      <c r="G10" s="5"/>
    </row>
    <row r="11" spans="1:7" x14ac:dyDescent="0.25">
      <c r="A11" s="4"/>
      <c r="B11" s="9">
        <v>45453</v>
      </c>
      <c r="C11" s="8"/>
      <c r="D11" s="8"/>
      <c r="E11" s="10"/>
      <c r="G11" s="5"/>
    </row>
    <row r="12" spans="1:7" x14ac:dyDescent="0.25">
      <c r="A12" s="4"/>
      <c r="B12" s="9">
        <v>45453</v>
      </c>
      <c r="C12" s="8"/>
      <c r="D12" s="8"/>
      <c r="E12" s="10"/>
      <c r="G12" s="5"/>
    </row>
    <row r="13" spans="1:7" x14ac:dyDescent="0.25">
      <c r="A13" s="4"/>
      <c r="B13" s="9">
        <v>45458</v>
      </c>
      <c r="C13" s="8"/>
      <c r="D13" s="8"/>
      <c r="E13" s="10"/>
      <c r="G13" s="5"/>
    </row>
    <row r="14" spans="1:7" x14ac:dyDescent="0.25">
      <c r="A14" s="4"/>
      <c r="B14" s="9">
        <v>45463</v>
      </c>
      <c r="C14" s="8"/>
      <c r="D14" s="8"/>
      <c r="E14" s="10"/>
      <c r="G14" s="5"/>
    </row>
    <row r="15" spans="1:7" x14ac:dyDescent="0.25">
      <c r="A15" s="4"/>
      <c r="B15" s="9">
        <v>45451</v>
      </c>
      <c r="C15" s="8"/>
      <c r="D15" s="8"/>
      <c r="E15" s="10"/>
      <c r="G15" s="5"/>
    </row>
    <row r="16" spans="1:7" ht="18.75" customHeight="1" x14ac:dyDescent="0.25">
      <c r="A16" s="4"/>
      <c r="B16" s="9"/>
      <c r="C16" s="8" t="s">
        <v>64</v>
      </c>
      <c r="D16" s="8" t="s">
        <v>59</v>
      </c>
      <c r="E16" s="10">
        <f>SUM(GastosFixos7188193198203213218223228233[[#All],[Valor]])</f>
        <v>0</v>
      </c>
      <c r="F16" t="str">
        <f>_xlfn.IFNA(VLOOKUP("Não",GastosFixos7188193198203213218223228233[Pago?],1,FALSE),"Sim")</f>
        <v>Sim</v>
      </c>
      <c r="G16" s="5"/>
    </row>
    <row r="17" spans="1:7" ht="18.75" customHeight="1" x14ac:dyDescent="0.25">
      <c r="A17" s="6"/>
      <c r="B17" s="44"/>
      <c r="C17" s="44"/>
      <c r="D17" s="44"/>
      <c r="E17" s="44"/>
      <c r="F17" s="44"/>
      <c r="G17" s="7"/>
    </row>
    <row r="18" spans="1:7" ht="18.75" customHeight="1" x14ac:dyDescent="0.25">
      <c r="A18" s="2"/>
      <c r="B18" s="42" t="s">
        <v>63</v>
      </c>
      <c r="C18" s="42"/>
      <c r="D18" s="42"/>
      <c r="E18" s="42"/>
      <c r="F18" s="42"/>
      <c r="G18" s="3"/>
    </row>
    <row r="19" spans="1:7" x14ac:dyDescent="0.25">
      <c r="A19" s="4"/>
      <c r="B19" t="s">
        <v>50</v>
      </c>
      <c r="C19" t="s">
        <v>51</v>
      </c>
      <c r="D19" t="s">
        <v>52</v>
      </c>
      <c r="E19" t="s">
        <v>53</v>
      </c>
      <c r="F19" t="s">
        <v>54</v>
      </c>
      <c r="G19" s="5"/>
    </row>
    <row r="20" spans="1:7" x14ac:dyDescent="0.25">
      <c r="A20" s="4"/>
      <c r="B20" s="9">
        <f t="shared" ref="B20" ca="1" si="0">TODAY()</f>
        <v>45475</v>
      </c>
      <c r="C20" s="8"/>
      <c r="D20" s="8"/>
      <c r="E20" s="10"/>
      <c r="G20" s="5"/>
    </row>
    <row r="21" spans="1:7" x14ac:dyDescent="0.25">
      <c r="A21" s="4"/>
      <c r="B21" s="9">
        <f ca="1">TODAY()</f>
        <v>45475</v>
      </c>
      <c r="C21" s="8"/>
      <c r="D21" s="8"/>
      <c r="E21" s="10"/>
      <c r="G21" s="5"/>
    </row>
    <row r="22" spans="1:7" x14ac:dyDescent="0.25">
      <c r="A22" s="4"/>
      <c r="B22" s="9">
        <f t="shared" ref="B22:B23" ca="1" si="1">TODAY()</f>
        <v>45475</v>
      </c>
      <c r="C22" s="8"/>
      <c r="D22" s="8"/>
      <c r="E22" s="10"/>
      <c r="G22" s="5"/>
    </row>
    <row r="23" spans="1:7" x14ac:dyDescent="0.25">
      <c r="A23" s="4"/>
      <c r="B23" s="9">
        <f t="shared" ca="1" si="1"/>
        <v>45475</v>
      </c>
      <c r="C23" s="8"/>
      <c r="D23" s="8"/>
      <c r="E23" s="10"/>
      <c r="G23" s="5"/>
    </row>
    <row r="24" spans="1:7" x14ac:dyDescent="0.25">
      <c r="A24" s="4"/>
      <c r="B24" s="9"/>
      <c r="C24" s="8" t="s">
        <v>65</v>
      </c>
      <c r="D24" s="8" t="s">
        <v>59</v>
      </c>
      <c r="E24" s="10">
        <f>SUM(GastosVariadosEssenciais9189194199204214219224229234[[#All],[Valor]])</f>
        <v>0</v>
      </c>
      <c r="F24" t="str">
        <f>_xlfn.IFNA(VLOOKUP("Não",GastosVariadosEssenciais9189194199204214219224229234[Pago?],1,FALSE),"Sim")</f>
        <v>Sim</v>
      </c>
      <c r="G24" s="5"/>
    </row>
    <row r="25" spans="1:7" x14ac:dyDescent="0.25">
      <c r="A25" s="6"/>
      <c r="B25" s="44"/>
      <c r="C25" s="44"/>
      <c r="D25" s="44"/>
      <c r="E25" s="44"/>
      <c r="F25" s="44"/>
      <c r="G25" s="7"/>
    </row>
    <row r="26" spans="1:7" x14ac:dyDescent="0.25">
      <c r="A26" s="2"/>
      <c r="B26" s="42" t="s">
        <v>67</v>
      </c>
      <c r="C26" s="42"/>
      <c r="D26" s="42"/>
      <c r="E26" s="42"/>
      <c r="F26" s="42"/>
      <c r="G26" s="3"/>
    </row>
    <row r="27" spans="1:7" x14ac:dyDescent="0.25">
      <c r="A27" s="4"/>
      <c r="B27" t="s">
        <v>50</v>
      </c>
      <c r="C27" t="s">
        <v>51</v>
      </c>
      <c r="D27" t="s">
        <v>52</v>
      </c>
      <c r="E27" t="s">
        <v>53</v>
      </c>
      <c r="F27" t="s">
        <v>54</v>
      </c>
      <c r="G27" s="5"/>
    </row>
    <row r="28" spans="1:7" x14ac:dyDescent="0.25">
      <c r="A28" s="4"/>
      <c r="B28" s="9">
        <v>45463</v>
      </c>
      <c r="C28" s="8"/>
      <c r="D28" s="8"/>
      <c r="E28" s="10"/>
      <c r="G28" s="5"/>
    </row>
    <row r="29" spans="1:7" x14ac:dyDescent="0.25">
      <c r="A29" s="4"/>
      <c r="B29" s="9">
        <v>45463</v>
      </c>
      <c r="C29" s="8"/>
      <c r="D29" s="8"/>
      <c r="E29" s="10"/>
      <c r="G29" s="5"/>
    </row>
    <row r="30" spans="1:7" x14ac:dyDescent="0.25">
      <c r="A30" s="4"/>
      <c r="B30" s="9">
        <v>45463</v>
      </c>
      <c r="C30" s="8"/>
      <c r="D30" s="8"/>
      <c r="E30" s="10"/>
      <c r="G30" s="5"/>
    </row>
    <row r="31" spans="1:7" x14ac:dyDescent="0.25">
      <c r="A31" s="4"/>
      <c r="B31" s="9">
        <v>45468</v>
      </c>
      <c r="C31" s="8"/>
      <c r="D31" s="8"/>
      <c r="E31" s="10"/>
      <c r="G31" s="5"/>
    </row>
    <row r="32" spans="1:7" x14ac:dyDescent="0.25">
      <c r="A32" s="4"/>
      <c r="B32" s="9">
        <v>45463</v>
      </c>
      <c r="C32" s="8"/>
      <c r="D32" s="8"/>
      <c r="E32" s="10"/>
      <c r="G32" s="5"/>
    </row>
    <row r="33" spans="1:7" x14ac:dyDescent="0.25">
      <c r="A33" s="4"/>
      <c r="B33" s="9"/>
      <c r="C33" s="8" t="s">
        <v>71</v>
      </c>
      <c r="D33" s="8" t="s">
        <v>59</v>
      </c>
      <c r="E33" s="10">
        <f>SUM(GastosVariadosNãoEssenciais10190195200205215220225230235[[#All],[Valor]])</f>
        <v>0</v>
      </c>
      <c r="F33" t="str">
        <f>_xlfn.IFNA(VLOOKUP("Não",GastosVariadosNãoEssenciais10190195200205215220225230235[Pago?],1,FALSE),"Sim")</f>
        <v>Sim</v>
      </c>
      <c r="G33" s="5"/>
    </row>
    <row r="34" spans="1:7" x14ac:dyDescent="0.25">
      <c r="A34" s="4"/>
      <c r="B34" s="41"/>
      <c r="C34" s="41"/>
      <c r="D34" s="41"/>
      <c r="E34" s="41"/>
      <c r="F34" s="41"/>
      <c r="G34" s="5"/>
    </row>
    <row r="35" spans="1:7" x14ac:dyDescent="0.25">
      <c r="A35" s="2"/>
      <c r="B35" s="12"/>
      <c r="C35" s="42" t="s">
        <v>80</v>
      </c>
      <c r="D35" s="42"/>
      <c r="E35" s="42"/>
      <c r="F35" s="12"/>
      <c r="G35" s="3"/>
    </row>
    <row r="36" spans="1:7" x14ac:dyDescent="0.25">
      <c r="A36" s="4"/>
      <c r="B36" s="11"/>
      <c r="C36" t="s">
        <v>81</v>
      </c>
      <c r="D36" t="s">
        <v>84</v>
      </c>
      <c r="E36" t="s">
        <v>53</v>
      </c>
      <c r="F36" s="11"/>
      <c r="G36" s="5"/>
    </row>
    <row r="37" spans="1:7" x14ac:dyDescent="0.25">
      <c r="A37" s="4"/>
      <c r="B37" s="11"/>
      <c r="C37" s="15" t="s">
        <v>82</v>
      </c>
      <c r="D37" s="15"/>
      <c r="E37" s="15">
        <f>RendaTotal</f>
        <v>0</v>
      </c>
      <c r="F37" s="11"/>
      <c r="G37" s="5"/>
    </row>
    <row r="38" spans="1:7" x14ac:dyDescent="0.25">
      <c r="A38" s="4"/>
      <c r="B38" s="11"/>
      <c r="C38" s="16" t="s">
        <v>64</v>
      </c>
      <c r="D38" s="16"/>
      <c r="E38" s="16">
        <f>FixosTotais</f>
        <v>0</v>
      </c>
      <c r="F38" s="11"/>
      <c r="G38" s="5"/>
    </row>
    <row r="39" spans="1:7" x14ac:dyDescent="0.25">
      <c r="A39" s="4"/>
      <c r="B39" s="11"/>
      <c r="C39" s="16" t="s">
        <v>86</v>
      </c>
      <c r="D39" s="16"/>
      <c r="E39" s="16">
        <f>EssenciaisTotais</f>
        <v>0</v>
      </c>
      <c r="F39" s="11"/>
      <c r="G39" s="5"/>
    </row>
    <row r="40" spans="1:7" x14ac:dyDescent="0.25">
      <c r="A40" s="4"/>
      <c r="B40" s="11"/>
      <c r="C40" s="17" t="s">
        <v>87</v>
      </c>
      <c r="D40" s="17"/>
      <c r="E40" s="17">
        <f>NãoEssenciaisTotais</f>
        <v>0</v>
      </c>
      <c r="F40" s="11"/>
      <c r="G40" s="5"/>
    </row>
    <row r="41" spans="1:7" x14ac:dyDescent="0.25">
      <c r="A41" s="4"/>
      <c r="B41" s="11"/>
      <c r="C41" s="10" t="s">
        <v>83</v>
      </c>
      <c r="D41" s="10"/>
      <c r="E41" s="10">
        <f>E37-SUM(E38:E40)</f>
        <v>0</v>
      </c>
      <c r="F41" s="11"/>
      <c r="G41" s="5"/>
    </row>
    <row r="42" spans="1:7" x14ac:dyDescent="0.25">
      <c r="A42" s="6"/>
      <c r="B42" s="13"/>
      <c r="C42" s="13"/>
      <c r="D42" s="13"/>
      <c r="E42" s="13"/>
      <c r="F42" s="13"/>
      <c r="G42" s="7"/>
    </row>
  </sheetData>
  <dataConsolidate/>
  <mergeCells count="9">
    <mergeCell ref="B26:F26"/>
    <mergeCell ref="B34:F34"/>
    <mergeCell ref="C35:E35"/>
    <mergeCell ref="A1:G1"/>
    <mergeCell ref="C2:E2"/>
    <mergeCell ref="B9:F9"/>
    <mergeCell ref="B17:F17"/>
    <mergeCell ref="B18:F18"/>
    <mergeCell ref="B25:F25"/>
  </mergeCells>
  <conditionalFormatting sqref="E41">
    <cfRule type="cellIs" dxfId="84" priority="1" operator="lessThanOrEqual">
      <formula>0</formula>
    </cfRule>
    <cfRule type="cellIs" dxfId="83" priority="2" operator="between">
      <formula>100</formula>
      <formula>0</formula>
    </cfRule>
  </conditionalFormatting>
  <dataValidations count="2">
    <dataValidation type="list" allowBlank="1" showInputMessage="1" showErrorMessage="1" sqref="D11:D15 D20:D23 D28:D32" xr:uid="{C2312D09-21B4-44E6-887F-8E684FDB7188}">
      <formula1>Tipos</formula1>
    </dataValidation>
    <dataValidation type="date" allowBlank="1" showInputMessage="1" showErrorMessage="1" sqref="B11:B15 B20:B23 B28:B32 B4:B6" xr:uid="{25711637-33F2-4438-B920-E137D486D1E9}">
      <formula1>43831</formula1>
      <formula2>73415</formula2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OcultarGraficos">
                <anchor moveWithCells="1">
                  <from>
                    <xdr:col>14</xdr:col>
                    <xdr:colOff>9525</xdr:colOff>
                    <xdr:row>3</xdr:row>
                    <xdr:rowOff>180975</xdr:rowOff>
                  </from>
                  <to>
                    <xdr:col>20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ExibirGraficos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19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7E173127-42EF-40A0-B78D-BA3FD8C99C89}">
            <xm:f>NOT(ISERROR(SEARCH('Tipos de Gastos'!$K$1,D3)))</xm:f>
            <xm:f>'Tipos de Gastos'!$K$1</xm:f>
            <x14:dxf>
              <fill>
                <patternFill>
                  <bgColor rgb="FFDAADA6"/>
                </patternFill>
              </fill>
            </x14:dxf>
          </x14:cfRule>
          <x14:cfRule type="containsText" priority="6" operator="containsText" id="{0EBFF598-7187-441E-920A-3D6DA162F123}">
            <xm:f>NOT(ISERROR(SEARCH('Tipos de Gastos'!$J$1,D3)))</xm:f>
            <xm:f>'Tipos de Gastos'!$J$1</xm:f>
            <x14:dxf>
              <fill>
                <patternFill>
                  <bgColor rgb="FFB2B2B2"/>
                </patternFill>
              </fill>
            </x14:dxf>
          </x14:cfRule>
          <x14:cfRule type="containsText" priority="7" operator="containsText" id="{9A11E69B-5EE1-46AB-8A99-F9BC5357CBB5}">
            <xm:f>NOT(ISERROR(SEARCH('Tipos de Gastos'!$I$1,D3)))</xm:f>
            <xm:f>'Tipos de Gastos'!$I$1</xm:f>
            <x14:dxf>
              <fill>
                <patternFill>
                  <bgColor rgb="FF00FF99"/>
                </patternFill>
              </fill>
            </x14:dxf>
          </x14:cfRule>
          <x14:cfRule type="containsText" priority="8" operator="containsText" id="{B354BDD3-3687-46BA-A708-3FDE07835D6C}">
            <xm:f>NOT(ISERROR(SEARCH('Tipos de Gastos'!$H$1,D3)))</xm:f>
            <xm:f>'Tipos de Gastos'!$H$1</xm:f>
            <x14:dxf>
              <fill>
                <patternFill>
                  <bgColor rgb="FFCC99FF"/>
                </patternFill>
              </fill>
            </x14:dxf>
          </x14:cfRule>
          <x14:cfRule type="containsText" priority="9" operator="containsText" id="{76098F1C-9AD8-4701-A74D-24B993CD71DE}">
            <xm:f>NOT(ISERROR(SEARCH('Tipos de Gastos'!$G$1,D3)))</xm:f>
            <xm:f>'Tipos de Gastos'!$G$1</xm:f>
            <x14:dxf>
              <fill>
                <patternFill>
                  <bgColor rgb="FF66FFCC"/>
                </patternFill>
              </fill>
            </x14:dxf>
          </x14:cfRule>
          <x14:cfRule type="containsText" priority="10" operator="containsText" id="{0E5AAB8C-8BFB-4510-ABD5-6ABC80E6F22B}">
            <xm:f>NOT(ISERROR(SEARCH('Tipos de Gastos'!$F$1,D3)))</xm:f>
            <xm:f>'Tipos de Gastos'!$F$1</xm:f>
            <x14:dxf>
              <fill>
                <patternFill>
                  <bgColor rgb="FF66FF66"/>
                </patternFill>
              </fill>
            </x14:dxf>
          </x14:cfRule>
          <x14:cfRule type="containsText" priority="11" operator="containsText" id="{14E601C5-F4FF-408B-B157-922ECF2A37DD}">
            <xm:f>NOT(ISERROR(SEARCH('Tipos de Gastos'!$E$1,D3)))</xm:f>
            <xm:f>'Tipos de Gastos'!$E$1</xm:f>
            <x14:dxf>
              <fill>
                <patternFill>
                  <bgColor rgb="FFCCFF33"/>
                </patternFill>
              </fill>
            </x14:dxf>
          </x14:cfRule>
          <x14:cfRule type="containsText" priority="12" operator="containsText" id="{EBEE05B3-3D10-4A26-B1A2-64E08954CB76}">
            <xm:f>NOT(ISERROR(SEARCH('Tipos de Gastos'!$D$1,D3)))</xm:f>
            <xm:f>'Tipos de Gastos'!$D$1</xm:f>
            <x14:dxf>
              <fill>
                <patternFill>
                  <bgColor rgb="FFFF7C80"/>
                </patternFill>
              </fill>
            </x14:dxf>
          </x14:cfRule>
          <x14:cfRule type="containsText" priority="13" operator="containsText" id="{B23D7965-6109-48C9-B974-FB947AD86B9F}">
            <xm:f>NOT(ISERROR(SEARCH('Tipos de Gastos'!$C$1,D3)))</xm:f>
            <xm:f>'Tipos de Gastos'!$C$1</xm:f>
            <x14:dxf>
              <fill>
                <patternFill>
                  <bgColor rgb="FFFFCC66"/>
                </patternFill>
              </fill>
            </x14:dxf>
          </x14:cfRule>
          <x14:cfRule type="containsText" priority="14" operator="containsText" id="{BF28DB35-D23F-4B56-92BA-8C91F29D5A8A}">
            <xm:f>NOT(ISERROR(SEARCH('Tipos de Gastos'!$B$1,D3)))</xm:f>
            <xm:f>'Tipos de Gastos'!$B$1</xm:f>
            <x14:dxf>
              <fill>
                <patternFill>
                  <bgColor rgb="FFFFFF66"/>
                </patternFill>
              </fill>
            </x14:dxf>
          </x14:cfRule>
          <x14:cfRule type="containsText" priority="15" operator="containsText" id="{BA6DEF45-0CC0-4A15-B6E8-BFA3CB69AAFF}">
            <xm:f>NOT(ISERROR(SEARCH('Tipos de Gastos'!$A$1,D3)))</xm:f>
            <xm:f>'Tipos de Gastos'!$A$1</xm:f>
            <x14:dxf>
              <fill>
                <patternFill patternType="solid">
                  <bgColor rgb="FFCC99FF"/>
                </patternFill>
              </fill>
            </x14:dxf>
          </x14:cfRule>
          <xm:sqref>D3 D7:D34 E37:E41 D42:D1048576</xm:sqref>
        </x14:conditionalFormatting>
        <x14:conditionalFormatting xmlns:xm="http://schemas.microsoft.com/office/excel/2006/main">
          <x14:cfRule type="containsText" priority="3" operator="containsText" id="{AB7E3747-F16E-45BC-A035-4A84E250ABDF}">
            <xm:f>NOT(ISERROR(SEARCH('Variáveis de Seleção'!$A$2,B2)))</xm:f>
            <xm:f>'Variáveis de Seleção'!$A$2</xm:f>
            <x14:dxf>
              <font>
                <u val="double"/>
              </font>
              <fill>
                <patternFill>
                  <bgColor rgb="FF92D050"/>
                </patternFill>
              </fill>
            </x14:dxf>
          </x14:cfRule>
          <xm:sqref>E36:E41 C2 F2 B3:F3 B4:C6 E4:F6 B7:F34 B35:C41 F35:F41 B42:F1048576</xm:sqref>
        </x14:conditionalFormatting>
        <x14:conditionalFormatting xmlns:xm="http://schemas.microsoft.com/office/excel/2006/main">
          <x14:cfRule type="containsText" priority="4" operator="containsText" id="{F4EC06F3-AD12-4652-84D7-DA411B0E0F98}">
            <xm:f>NOT(ISERROR(SEARCH('Variáveis de Seleção'!$A$3,F2)))</xm:f>
            <xm:f>'Variáveis de Seleção'!$A$3</xm:f>
            <x14:dxf>
              <font>
                <b val="0"/>
                <i val="0"/>
                <u val="double"/>
                <color auto="1"/>
              </font>
              <fill>
                <patternFill patternType="solid">
                  <bgColor rgb="FFFFFF00"/>
                </patternFill>
              </fill>
            </x14:dxf>
          </x14:cfRule>
          <xm:sqref>F2:F1048576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4B61D5-A26A-44C8-BC1A-D0BD0F288EE6}">
          <x14:formula1>
            <xm:f>'Variáveis de Seleção'!$A$2:$A$3</xm:f>
          </x14:formula1>
          <xm:sqref>F11:F15 F20:F23 F28:F32 F4:F6</xm:sqref>
        </x14:dataValidation>
        <x14:dataValidation type="list" allowBlank="1" showInputMessage="1" showErrorMessage="1" xr:uid="{EEDCC9AA-424D-4624-9C9D-97E95DB9EC5F}">
          <x14:formula1>
            <xm:f>'Variáveis de Seleção'!$B$2:$B$4</xm:f>
          </x14:formula1>
          <xm:sqref>D4:D6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1A415-21B1-4A3F-9810-266C9282CDE5}">
  <sheetPr codeName="Planilha16"/>
  <dimension ref="A1:G42"/>
  <sheetViews>
    <sheetView showGridLines="0" topLeftCell="A7" zoomScaleNormal="100" workbookViewId="0">
      <selection activeCell="E12" sqref="E12"/>
    </sheetView>
  </sheetViews>
  <sheetFormatPr defaultRowHeight="15" x14ac:dyDescent="0.25"/>
  <cols>
    <col min="1" max="1" width="3.5703125" customWidth="1"/>
    <col min="2" max="2" width="10.7109375" customWidth="1"/>
    <col min="3" max="3" width="22.140625" customWidth="1"/>
    <col min="4" max="4" width="20.28515625" customWidth="1"/>
    <col min="5" max="5" width="12.140625" bestFit="1" customWidth="1"/>
    <col min="7" max="7" width="3.5703125" customWidth="1"/>
  </cols>
  <sheetData>
    <row r="1" spans="1:7" x14ac:dyDescent="0.25">
      <c r="A1" s="45" t="s">
        <v>103</v>
      </c>
      <c r="B1" s="45"/>
      <c r="C1" s="45"/>
      <c r="D1" s="45"/>
      <c r="E1" s="45"/>
      <c r="F1" s="45"/>
      <c r="G1" s="45"/>
    </row>
    <row r="2" spans="1:7" x14ac:dyDescent="0.25">
      <c r="A2" s="2"/>
      <c r="B2" s="11"/>
      <c r="C2" s="42" t="s">
        <v>72</v>
      </c>
      <c r="D2" s="42"/>
      <c r="E2" s="42"/>
      <c r="F2" s="12"/>
      <c r="G2" s="3"/>
    </row>
    <row r="3" spans="1:7" x14ac:dyDescent="0.25">
      <c r="A3" s="4"/>
      <c r="B3" s="11"/>
      <c r="C3" t="s">
        <v>51</v>
      </c>
      <c r="D3" t="s">
        <v>52</v>
      </c>
      <c r="E3" t="s">
        <v>53</v>
      </c>
      <c r="F3" s="11"/>
      <c r="G3" s="5"/>
    </row>
    <row r="4" spans="1:7" x14ac:dyDescent="0.25">
      <c r="A4" s="4"/>
      <c r="B4" s="14"/>
      <c r="C4" s="8" t="s">
        <v>76</v>
      </c>
      <c r="D4" s="8" t="s">
        <v>79</v>
      </c>
      <c r="E4" s="10"/>
      <c r="F4" s="11"/>
      <c r="G4" s="5"/>
    </row>
    <row r="5" spans="1:7" x14ac:dyDescent="0.25">
      <c r="A5" s="4"/>
      <c r="B5" s="14"/>
      <c r="C5" s="8" t="s">
        <v>77</v>
      </c>
      <c r="D5" s="8" t="s">
        <v>74</v>
      </c>
      <c r="E5" s="10"/>
      <c r="F5" s="11"/>
      <c r="G5" s="5"/>
    </row>
    <row r="6" spans="1:7" x14ac:dyDescent="0.25">
      <c r="A6" s="4"/>
      <c r="B6" s="14"/>
      <c r="C6" s="8" t="s">
        <v>78</v>
      </c>
      <c r="D6" s="8" t="s">
        <v>75</v>
      </c>
      <c r="E6" s="10"/>
      <c r="F6" s="11"/>
      <c r="G6" s="5"/>
    </row>
    <row r="7" spans="1:7" x14ac:dyDescent="0.25">
      <c r="A7" s="4"/>
      <c r="B7" s="14"/>
      <c r="C7" s="8"/>
      <c r="D7" s="8" t="s">
        <v>59</v>
      </c>
      <c r="E7" s="10">
        <f>SUM(Entrada11191196201206216221226231236241[Valor])</f>
        <v>0</v>
      </c>
      <c r="F7" s="11"/>
      <c r="G7" s="5"/>
    </row>
    <row r="8" spans="1:7" x14ac:dyDescent="0.25">
      <c r="A8" s="6"/>
      <c r="B8" s="13"/>
      <c r="C8" s="13"/>
      <c r="D8" s="13"/>
      <c r="E8" s="13"/>
      <c r="F8" s="13"/>
      <c r="G8" s="7"/>
    </row>
    <row r="9" spans="1:7" ht="18.75" customHeight="1" x14ac:dyDescent="0.25">
      <c r="A9" s="2"/>
      <c r="B9" s="42" t="s">
        <v>49</v>
      </c>
      <c r="C9" s="42"/>
      <c r="D9" s="42"/>
      <c r="E9" s="42"/>
      <c r="F9" s="42"/>
      <c r="G9" s="3"/>
    </row>
    <row r="10" spans="1:7" x14ac:dyDescent="0.25">
      <c r="A10" s="4"/>
      <c r="B10" t="s">
        <v>50</v>
      </c>
      <c r="C10" t="s">
        <v>51</v>
      </c>
      <c r="D10" t="s">
        <v>52</v>
      </c>
      <c r="E10" t="s">
        <v>53</v>
      </c>
      <c r="F10" t="s">
        <v>54</v>
      </c>
      <c r="G10" s="5"/>
    </row>
    <row r="11" spans="1:7" x14ac:dyDescent="0.25">
      <c r="A11" s="4"/>
      <c r="B11" s="9">
        <v>45453</v>
      </c>
      <c r="C11" s="8"/>
      <c r="D11" s="8"/>
      <c r="E11" s="10"/>
      <c r="G11" s="5"/>
    </row>
    <row r="12" spans="1:7" x14ac:dyDescent="0.25">
      <c r="A12" s="4"/>
      <c r="B12" s="9">
        <v>45453</v>
      </c>
      <c r="C12" s="8"/>
      <c r="D12" s="8"/>
      <c r="E12" s="10"/>
      <c r="G12" s="5"/>
    </row>
    <row r="13" spans="1:7" x14ac:dyDescent="0.25">
      <c r="A13" s="4"/>
      <c r="B13" s="9">
        <v>45458</v>
      </c>
      <c r="C13" s="8"/>
      <c r="D13" s="8"/>
      <c r="E13" s="10"/>
      <c r="G13" s="5"/>
    </row>
    <row r="14" spans="1:7" x14ac:dyDescent="0.25">
      <c r="A14" s="4"/>
      <c r="B14" s="9">
        <v>45463</v>
      </c>
      <c r="C14" s="8"/>
      <c r="D14" s="8"/>
      <c r="E14" s="10"/>
      <c r="G14" s="5"/>
    </row>
    <row r="15" spans="1:7" x14ac:dyDescent="0.25">
      <c r="A15" s="4"/>
      <c r="B15" s="9">
        <v>45451</v>
      </c>
      <c r="C15" s="8"/>
      <c r="D15" s="8"/>
      <c r="E15" s="10"/>
      <c r="G15" s="5"/>
    </row>
    <row r="16" spans="1:7" ht="18.75" customHeight="1" x14ac:dyDescent="0.25">
      <c r="A16" s="4"/>
      <c r="B16" s="9"/>
      <c r="C16" s="8" t="s">
        <v>64</v>
      </c>
      <c r="D16" s="8" t="s">
        <v>59</v>
      </c>
      <c r="E16" s="10">
        <f>SUM(GastosFixos7188193198203213218223228233238[[#All],[Valor]])</f>
        <v>0</v>
      </c>
      <c r="F16" t="str">
        <f>_xlfn.IFNA(VLOOKUP("Não",GastosFixos7188193198203213218223228233238[Pago?],1,FALSE),"Sim")</f>
        <v>Sim</v>
      </c>
      <c r="G16" s="5"/>
    </row>
    <row r="17" spans="1:7" ht="18.75" customHeight="1" x14ac:dyDescent="0.25">
      <c r="A17" s="6"/>
      <c r="B17" s="44"/>
      <c r="C17" s="44"/>
      <c r="D17" s="44"/>
      <c r="E17" s="44"/>
      <c r="F17" s="44"/>
      <c r="G17" s="7"/>
    </row>
    <row r="18" spans="1:7" ht="18.75" customHeight="1" x14ac:dyDescent="0.25">
      <c r="A18" s="2"/>
      <c r="B18" s="42" t="s">
        <v>63</v>
      </c>
      <c r="C18" s="42"/>
      <c r="D18" s="42"/>
      <c r="E18" s="42"/>
      <c r="F18" s="42"/>
      <c r="G18" s="3"/>
    </row>
    <row r="19" spans="1:7" x14ac:dyDescent="0.25">
      <c r="A19" s="4"/>
      <c r="B19" t="s">
        <v>50</v>
      </c>
      <c r="C19" t="s">
        <v>51</v>
      </c>
      <c r="D19" t="s">
        <v>52</v>
      </c>
      <c r="E19" t="s">
        <v>53</v>
      </c>
      <c r="F19" t="s">
        <v>54</v>
      </c>
      <c r="G19" s="5"/>
    </row>
    <row r="20" spans="1:7" x14ac:dyDescent="0.25">
      <c r="A20" s="4"/>
      <c r="B20" s="9">
        <f t="shared" ref="B20" ca="1" si="0">TODAY()</f>
        <v>45475</v>
      </c>
      <c r="C20" s="8"/>
      <c r="D20" s="8"/>
      <c r="E20" s="10"/>
      <c r="G20" s="5"/>
    </row>
    <row r="21" spans="1:7" x14ac:dyDescent="0.25">
      <c r="A21" s="4"/>
      <c r="B21" s="9">
        <f ca="1">TODAY()</f>
        <v>45475</v>
      </c>
      <c r="C21" s="8"/>
      <c r="D21" s="8"/>
      <c r="E21" s="10"/>
      <c r="G21" s="5"/>
    </row>
    <row r="22" spans="1:7" x14ac:dyDescent="0.25">
      <c r="A22" s="4"/>
      <c r="B22" s="9">
        <f t="shared" ref="B22:B23" ca="1" si="1">TODAY()</f>
        <v>45475</v>
      </c>
      <c r="C22" s="8"/>
      <c r="D22" s="8"/>
      <c r="E22" s="10"/>
      <c r="G22" s="5"/>
    </row>
    <row r="23" spans="1:7" x14ac:dyDescent="0.25">
      <c r="A23" s="4"/>
      <c r="B23" s="9">
        <f t="shared" ca="1" si="1"/>
        <v>45475</v>
      </c>
      <c r="C23" s="8"/>
      <c r="D23" s="8"/>
      <c r="E23" s="10"/>
      <c r="G23" s="5"/>
    </row>
    <row r="24" spans="1:7" x14ac:dyDescent="0.25">
      <c r="A24" s="4"/>
      <c r="B24" s="9"/>
      <c r="C24" s="8" t="s">
        <v>65</v>
      </c>
      <c r="D24" s="8" t="s">
        <v>59</v>
      </c>
      <c r="E24" s="10">
        <f>SUM(GastosVariadosEssenciais9189194199204214219224229234239[[#All],[Valor]])</f>
        <v>0</v>
      </c>
      <c r="F24" t="str">
        <f>_xlfn.IFNA(VLOOKUP("Não",GastosVariadosEssenciais9189194199204214219224229234239[Pago?],1,FALSE),"Sim")</f>
        <v>Sim</v>
      </c>
      <c r="G24" s="5"/>
    </row>
    <row r="25" spans="1:7" x14ac:dyDescent="0.25">
      <c r="A25" s="6"/>
      <c r="B25" s="44"/>
      <c r="C25" s="44"/>
      <c r="D25" s="44"/>
      <c r="E25" s="44"/>
      <c r="F25" s="44"/>
      <c r="G25" s="7"/>
    </row>
    <row r="26" spans="1:7" x14ac:dyDescent="0.25">
      <c r="A26" s="2"/>
      <c r="B26" s="42" t="s">
        <v>67</v>
      </c>
      <c r="C26" s="42"/>
      <c r="D26" s="42"/>
      <c r="E26" s="42"/>
      <c r="F26" s="42"/>
      <c r="G26" s="3"/>
    </row>
    <row r="27" spans="1:7" x14ac:dyDescent="0.25">
      <c r="A27" s="4"/>
      <c r="B27" t="s">
        <v>50</v>
      </c>
      <c r="C27" t="s">
        <v>51</v>
      </c>
      <c r="D27" t="s">
        <v>52</v>
      </c>
      <c r="E27" t="s">
        <v>53</v>
      </c>
      <c r="F27" t="s">
        <v>54</v>
      </c>
      <c r="G27" s="5"/>
    </row>
    <row r="28" spans="1:7" x14ac:dyDescent="0.25">
      <c r="A28" s="4"/>
      <c r="B28" s="9">
        <v>45463</v>
      </c>
      <c r="C28" s="8"/>
      <c r="D28" s="8"/>
      <c r="E28" s="10"/>
      <c r="G28" s="5"/>
    </row>
    <row r="29" spans="1:7" x14ac:dyDescent="0.25">
      <c r="A29" s="4"/>
      <c r="B29" s="9">
        <v>45463</v>
      </c>
      <c r="C29" s="8"/>
      <c r="D29" s="8"/>
      <c r="E29" s="10"/>
      <c r="G29" s="5"/>
    </row>
    <row r="30" spans="1:7" x14ac:dyDescent="0.25">
      <c r="A30" s="4"/>
      <c r="B30" s="9">
        <v>45463</v>
      </c>
      <c r="C30" s="8"/>
      <c r="D30" s="8"/>
      <c r="E30" s="10"/>
      <c r="G30" s="5"/>
    </row>
    <row r="31" spans="1:7" x14ac:dyDescent="0.25">
      <c r="A31" s="4"/>
      <c r="B31" s="9">
        <v>45468</v>
      </c>
      <c r="C31" s="8"/>
      <c r="D31" s="8"/>
      <c r="E31" s="10"/>
      <c r="G31" s="5"/>
    </row>
    <row r="32" spans="1:7" x14ac:dyDescent="0.25">
      <c r="A32" s="4"/>
      <c r="B32" s="9">
        <v>45463</v>
      </c>
      <c r="C32" s="8"/>
      <c r="D32" s="8"/>
      <c r="E32" s="10"/>
      <c r="G32" s="5"/>
    </row>
    <row r="33" spans="1:7" x14ac:dyDescent="0.25">
      <c r="A33" s="4"/>
      <c r="B33" s="9"/>
      <c r="C33" s="8" t="s">
        <v>71</v>
      </c>
      <c r="D33" s="8" t="s">
        <v>59</v>
      </c>
      <c r="E33" s="10">
        <f>SUM(GastosVariadosNãoEssenciais10190195200205215220225230235240[[#All],[Valor]])</f>
        <v>0</v>
      </c>
      <c r="F33" t="str">
        <f>_xlfn.IFNA(VLOOKUP("Não",GastosVariadosNãoEssenciais10190195200205215220225230235240[Pago?],1,FALSE),"Sim")</f>
        <v>Sim</v>
      </c>
      <c r="G33" s="5"/>
    </row>
    <row r="34" spans="1:7" x14ac:dyDescent="0.25">
      <c r="A34" s="4"/>
      <c r="B34" s="41"/>
      <c r="C34" s="41"/>
      <c r="D34" s="41"/>
      <c r="E34" s="41"/>
      <c r="F34" s="41"/>
      <c r="G34" s="5"/>
    </row>
    <row r="35" spans="1:7" x14ac:dyDescent="0.25">
      <c r="A35" s="2"/>
      <c r="B35" s="12"/>
      <c r="C35" s="42" t="s">
        <v>80</v>
      </c>
      <c r="D35" s="42"/>
      <c r="E35" s="42"/>
      <c r="F35" s="12"/>
      <c r="G35" s="3"/>
    </row>
    <row r="36" spans="1:7" x14ac:dyDescent="0.25">
      <c r="A36" s="4"/>
      <c r="B36" s="11"/>
      <c r="C36" t="s">
        <v>81</v>
      </c>
      <c r="D36" t="s">
        <v>84</v>
      </c>
      <c r="E36" t="s">
        <v>53</v>
      </c>
      <c r="F36" s="11"/>
      <c r="G36" s="5"/>
    </row>
    <row r="37" spans="1:7" x14ac:dyDescent="0.25">
      <c r="A37" s="4"/>
      <c r="B37" s="11"/>
      <c r="C37" s="15" t="s">
        <v>82</v>
      </c>
      <c r="D37" s="15"/>
      <c r="E37" s="15">
        <f>RendaTotal</f>
        <v>0</v>
      </c>
      <c r="F37" s="11"/>
      <c r="G37" s="5"/>
    </row>
    <row r="38" spans="1:7" x14ac:dyDescent="0.25">
      <c r="A38" s="4"/>
      <c r="B38" s="11"/>
      <c r="C38" s="16" t="s">
        <v>64</v>
      </c>
      <c r="D38" s="16"/>
      <c r="E38" s="16">
        <f>FixosTotais</f>
        <v>0</v>
      </c>
      <c r="F38" s="11"/>
      <c r="G38" s="5"/>
    </row>
    <row r="39" spans="1:7" x14ac:dyDescent="0.25">
      <c r="A39" s="4"/>
      <c r="B39" s="11"/>
      <c r="C39" s="16" t="s">
        <v>86</v>
      </c>
      <c r="D39" s="16"/>
      <c r="E39" s="16">
        <f>EssenciaisTotais</f>
        <v>0</v>
      </c>
      <c r="F39" s="11"/>
      <c r="G39" s="5"/>
    </row>
    <row r="40" spans="1:7" x14ac:dyDescent="0.25">
      <c r="A40" s="4"/>
      <c r="B40" s="11"/>
      <c r="C40" s="17" t="s">
        <v>87</v>
      </c>
      <c r="D40" s="17"/>
      <c r="E40" s="17">
        <f>NãoEssenciaisTotais</f>
        <v>0</v>
      </c>
      <c r="F40" s="11"/>
      <c r="G40" s="5"/>
    </row>
    <row r="41" spans="1:7" x14ac:dyDescent="0.25">
      <c r="A41" s="4"/>
      <c r="B41" s="11"/>
      <c r="C41" s="10" t="s">
        <v>83</v>
      </c>
      <c r="D41" s="10"/>
      <c r="E41" s="10">
        <f>E37-SUM(E38:E40)</f>
        <v>0</v>
      </c>
      <c r="F41" s="11"/>
      <c r="G41" s="5"/>
    </row>
    <row r="42" spans="1:7" x14ac:dyDescent="0.25">
      <c r="A42" s="6"/>
      <c r="B42" s="13"/>
      <c r="C42" s="13"/>
      <c r="D42" s="13"/>
      <c r="E42" s="13"/>
      <c r="F42" s="13"/>
      <c r="G42" s="7"/>
    </row>
  </sheetData>
  <dataConsolidate/>
  <mergeCells count="9">
    <mergeCell ref="B26:F26"/>
    <mergeCell ref="B34:F34"/>
    <mergeCell ref="C35:E35"/>
    <mergeCell ref="A1:G1"/>
    <mergeCell ref="C2:E2"/>
    <mergeCell ref="B9:F9"/>
    <mergeCell ref="B17:F17"/>
    <mergeCell ref="B18:F18"/>
    <mergeCell ref="B25:F25"/>
  </mergeCells>
  <conditionalFormatting sqref="E41">
    <cfRule type="cellIs" dxfId="48" priority="1" operator="lessThanOrEqual">
      <formula>0</formula>
    </cfRule>
    <cfRule type="cellIs" dxfId="47" priority="2" operator="between">
      <formula>100</formula>
      <formula>0</formula>
    </cfRule>
  </conditionalFormatting>
  <dataValidations count="2">
    <dataValidation type="date" allowBlank="1" showInputMessage="1" showErrorMessage="1" sqref="B11:B15 B20:B23 B28:B32 B4:B6" xr:uid="{33A4B8EF-FF3C-43A6-9928-E067C7FB6F06}">
      <formula1>43831</formula1>
      <formula2>73415</formula2>
    </dataValidation>
    <dataValidation type="list" allowBlank="1" showInputMessage="1" showErrorMessage="1" sqref="D11:D15 D20:D23 D28:D32" xr:uid="{FE4E105B-5A3D-4EC6-8345-051DB1A22D81}">
      <formula1>Tipos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OcultarGraficos">
                <anchor moveWithCells="1">
                  <from>
                    <xdr:col>14</xdr:col>
                    <xdr:colOff>9525</xdr:colOff>
                    <xdr:row>3</xdr:row>
                    <xdr:rowOff>180975</xdr:rowOff>
                  </from>
                  <to>
                    <xdr:col>20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ExibirGraficos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19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5">
    <tablePart r:id="rId6"/>
    <tablePart r:id="rId7"/>
    <tablePart r:id="rId8"/>
    <tablePart r:id="rId9"/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FFAFB426-4930-4543-93D3-486394222222}">
            <xm:f>NOT(ISERROR(SEARCH('Tipos de Gastos'!$K$1,D3)))</xm:f>
            <xm:f>'Tipos de Gastos'!$K$1</xm:f>
            <x14:dxf>
              <fill>
                <patternFill>
                  <bgColor rgb="FFDAADA6"/>
                </patternFill>
              </fill>
            </x14:dxf>
          </x14:cfRule>
          <x14:cfRule type="containsText" priority="6" operator="containsText" id="{74815925-1200-4083-8C79-91FC2408A9B4}">
            <xm:f>NOT(ISERROR(SEARCH('Tipos de Gastos'!$J$1,D3)))</xm:f>
            <xm:f>'Tipos de Gastos'!$J$1</xm:f>
            <x14:dxf>
              <fill>
                <patternFill>
                  <bgColor rgb="FFB2B2B2"/>
                </patternFill>
              </fill>
            </x14:dxf>
          </x14:cfRule>
          <x14:cfRule type="containsText" priority="7" operator="containsText" id="{C662F287-A315-49E3-BAB9-52FF09EA0FBC}">
            <xm:f>NOT(ISERROR(SEARCH('Tipos de Gastos'!$I$1,D3)))</xm:f>
            <xm:f>'Tipos de Gastos'!$I$1</xm:f>
            <x14:dxf>
              <fill>
                <patternFill>
                  <bgColor rgb="FF00FF99"/>
                </patternFill>
              </fill>
            </x14:dxf>
          </x14:cfRule>
          <x14:cfRule type="containsText" priority="8" operator="containsText" id="{E019F30F-3660-45E7-AB74-155F9BD94484}">
            <xm:f>NOT(ISERROR(SEARCH('Tipos de Gastos'!$H$1,D3)))</xm:f>
            <xm:f>'Tipos de Gastos'!$H$1</xm:f>
            <x14:dxf>
              <fill>
                <patternFill>
                  <bgColor rgb="FFCC99FF"/>
                </patternFill>
              </fill>
            </x14:dxf>
          </x14:cfRule>
          <x14:cfRule type="containsText" priority="9" operator="containsText" id="{47D9C051-06B1-4FA3-84E9-790B39F365A6}">
            <xm:f>NOT(ISERROR(SEARCH('Tipos de Gastos'!$G$1,D3)))</xm:f>
            <xm:f>'Tipos de Gastos'!$G$1</xm:f>
            <x14:dxf>
              <fill>
                <patternFill>
                  <bgColor rgb="FF66FFCC"/>
                </patternFill>
              </fill>
            </x14:dxf>
          </x14:cfRule>
          <x14:cfRule type="containsText" priority="10" operator="containsText" id="{61E5F3CD-9B7D-4894-BB17-E226C2637BB9}">
            <xm:f>NOT(ISERROR(SEARCH('Tipos de Gastos'!$F$1,D3)))</xm:f>
            <xm:f>'Tipos de Gastos'!$F$1</xm:f>
            <x14:dxf>
              <fill>
                <patternFill>
                  <bgColor rgb="FF66FF66"/>
                </patternFill>
              </fill>
            </x14:dxf>
          </x14:cfRule>
          <x14:cfRule type="containsText" priority="11" operator="containsText" id="{CB867F56-E66F-4622-9D78-72E27EED5533}">
            <xm:f>NOT(ISERROR(SEARCH('Tipos de Gastos'!$E$1,D3)))</xm:f>
            <xm:f>'Tipos de Gastos'!$E$1</xm:f>
            <x14:dxf>
              <fill>
                <patternFill>
                  <bgColor rgb="FFCCFF33"/>
                </patternFill>
              </fill>
            </x14:dxf>
          </x14:cfRule>
          <x14:cfRule type="containsText" priority="12" operator="containsText" id="{7990EC09-1A78-40D1-B7C5-69D3F8612AF8}">
            <xm:f>NOT(ISERROR(SEARCH('Tipos de Gastos'!$D$1,D3)))</xm:f>
            <xm:f>'Tipos de Gastos'!$D$1</xm:f>
            <x14:dxf>
              <fill>
                <patternFill>
                  <bgColor rgb="FFFF7C80"/>
                </patternFill>
              </fill>
            </x14:dxf>
          </x14:cfRule>
          <x14:cfRule type="containsText" priority="13" operator="containsText" id="{9C4401FA-9BF3-45CE-84AC-91DBA8E0389A}">
            <xm:f>NOT(ISERROR(SEARCH('Tipos de Gastos'!$C$1,D3)))</xm:f>
            <xm:f>'Tipos de Gastos'!$C$1</xm:f>
            <x14:dxf>
              <fill>
                <patternFill>
                  <bgColor rgb="FFFFCC66"/>
                </patternFill>
              </fill>
            </x14:dxf>
          </x14:cfRule>
          <x14:cfRule type="containsText" priority="14" operator="containsText" id="{A7C8EA69-1A52-4068-9161-3F117C97D6BB}">
            <xm:f>NOT(ISERROR(SEARCH('Tipos de Gastos'!$B$1,D3)))</xm:f>
            <xm:f>'Tipos de Gastos'!$B$1</xm:f>
            <x14:dxf>
              <fill>
                <patternFill>
                  <bgColor rgb="FFFFFF66"/>
                </patternFill>
              </fill>
            </x14:dxf>
          </x14:cfRule>
          <x14:cfRule type="containsText" priority="15" operator="containsText" id="{5CCAE093-A666-45FA-80D7-37A4F1A6E673}">
            <xm:f>NOT(ISERROR(SEARCH('Tipos de Gastos'!$A$1,D3)))</xm:f>
            <xm:f>'Tipos de Gastos'!$A$1</xm:f>
            <x14:dxf>
              <fill>
                <patternFill patternType="solid">
                  <bgColor rgb="FFCC99FF"/>
                </patternFill>
              </fill>
            </x14:dxf>
          </x14:cfRule>
          <xm:sqref>D3 D7:D34 E37:E41 D42:D1048576</xm:sqref>
        </x14:conditionalFormatting>
        <x14:conditionalFormatting xmlns:xm="http://schemas.microsoft.com/office/excel/2006/main">
          <x14:cfRule type="containsText" priority="3" operator="containsText" id="{CEEDA536-AA32-4117-8DC5-6F9FF5938773}">
            <xm:f>NOT(ISERROR(SEARCH('Variáveis de Seleção'!$A$2,B2)))</xm:f>
            <xm:f>'Variáveis de Seleção'!$A$2</xm:f>
            <x14:dxf>
              <font>
                <u val="double"/>
              </font>
              <fill>
                <patternFill>
                  <bgColor rgb="FF92D050"/>
                </patternFill>
              </fill>
            </x14:dxf>
          </x14:cfRule>
          <xm:sqref>E36:E41 C2 F2 B3:F3 B4:C6 E4:F6 B7:F34 B35:C41 F35:F41 B42:F1048576</xm:sqref>
        </x14:conditionalFormatting>
        <x14:conditionalFormatting xmlns:xm="http://schemas.microsoft.com/office/excel/2006/main">
          <x14:cfRule type="containsText" priority="4" operator="containsText" id="{CE7A4C9C-B631-43E1-930D-8A86EFA16D0D}">
            <xm:f>NOT(ISERROR(SEARCH('Variáveis de Seleção'!$A$3,F2)))</xm:f>
            <xm:f>'Variáveis de Seleção'!$A$3</xm:f>
            <x14:dxf>
              <font>
                <b val="0"/>
                <i val="0"/>
                <u val="double"/>
                <color auto="1"/>
              </font>
              <fill>
                <patternFill patternType="solid">
                  <bgColor rgb="FFFFFF00"/>
                </patternFill>
              </fill>
            </x14:dxf>
          </x14:cfRule>
          <xm:sqref>F2:F1048576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978F351-8EAB-4D60-A657-B9BFF654C3FC}">
          <x14:formula1>
            <xm:f>'Variáveis de Seleção'!$B$2:$B$4</xm:f>
          </x14:formula1>
          <xm:sqref>D4:D6</xm:sqref>
        </x14:dataValidation>
        <x14:dataValidation type="list" allowBlank="1" showInputMessage="1" showErrorMessage="1" xr:uid="{FB714ACF-77F2-4799-8CD4-9927128709EA}">
          <x14:formula1>
            <xm:f>'Variáveis de Seleção'!$A$2:$A$3</xm:f>
          </x14:formula1>
          <xm:sqref>F11:F15 F20:F23 F28:F32 F4:F6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DF260-0D94-40ED-ABC7-5F0B3E2C2A69}">
  <sheetPr codeName="Planilha1"/>
  <dimension ref="A1:K6"/>
  <sheetViews>
    <sheetView showGridLines="0" workbookViewId="0"/>
  </sheetViews>
  <sheetFormatPr defaultColWidth="16.7109375" defaultRowHeight="42" customHeight="1" x14ac:dyDescent="0.25"/>
  <cols>
    <col min="1" max="16384" width="16.7109375" style="1"/>
  </cols>
  <sheetData>
    <row r="1" spans="1:11" ht="42" customHeight="1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48</v>
      </c>
      <c r="I1" s="1" t="s">
        <v>11</v>
      </c>
      <c r="J1" s="1" t="s">
        <v>12</v>
      </c>
      <c r="K1" s="1" t="s">
        <v>60</v>
      </c>
    </row>
    <row r="2" spans="1:11" ht="42" customHeight="1" x14ac:dyDescent="0.25">
      <c r="A2" s="1" t="s">
        <v>0</v>
      </c>
      <c r="B2" s="1" t="s">
        <v>42</v>
      </c>
      <c r="C2" s="1" t="s">
        <v>37</v>
      </c>
      <c r="D2" s="1" t="s">
        <v>34</v>
      </c>
      <c r="E2" s="1" t="s">
        <v>29</v>
      </c>
      <c r="F2" s="1" t="s">
        <v>26</v>
      </c>
      <c r="G2" s="1" t="s">
        <v>23</v>
      </c>
      <c r="H2" s="1" t="s">
        <v>20</v>
      </c>
      <c r="I2" s="1" t="s">
        <v>17</v>
      </c>
      <c r="J2" s="1" t="s">
        <v>13</v>
      </c>
      <c r="K2" s="1" t="s">
        <v>61</v>
      </c>
    </row>
    <row r="3" spans="1:11" ht="42" customHeight="1" x14ac:dyDescent="0.25">
      <c r="A3" s="1" t="s">
        <v>1</v>
      </c>
      <c r="B3" s="1" t="s">
        <v>43</v>
      </c>
      <c r="C3" s="1" t="s">
        <v>38</v>
      </c>
      <c r="D3" s="1" t="s">
        <v>35</v>
      </c>
      <c r="E3" s="1" t="s">
        <v>30</v>
      </c>
      <c r="F3" s="1" t="s">
        <v>27</v>
      </c>
      <c r="G3" s="1" t="s">
        <v>24</v>
      </c>
      <c r="H3" s="1" t="s">
        <v>21</v>
      </c>
      <c r="I3" s="1" t="s">
        <v>18</v>
      </c>
      <c r="J3" s="1" t="s">
        <v>14</v>
      </c>
      <c r="K3" s="1" t="s">
        <v>62</v>
      </c>
    </row>
    <row r="4" spans="1:11" ht="42" customHeight="1" x14ac:dyDescent="0.25">
      <c r="A4" s="1" t="s">
        <v>2</v>
      </c>
      <c r="B4" s="1" t="s">
        <v>44</v>
      </c>
      <c r="C4" s="1" t="s">
        <v>39</v>
      </c>
      <c r="D4" s="1" t="s">
        <v>36</v>
      </c>
      <c r="E4" s="1" t="s">
        <v>31</v>
      </c>
      <c r="F4" s="1" t="s">
        <v>28</v>
      </c>
      <c r="G4" s="1" t="s">
        <v>25</v>
      </c>
      <c r="H4" s="1" t="s">
        <v>22</v>
      </c>
      <c r="I4" s="1" t="s">
        <v>19</v>
      </c>
      <c r="J4" s="1" t="s">
        <v>15</v>
      </c>
    </row>
    <row r="5" spans="1:11" ht="42" customHeight="1" x14ac:dyDescent="0.25">
      <c r="A5" s="1" t="s">
        <v>3</v>
      </c>
      <c r="B5" s="1" t="s">
        <v>45</v>
      </c>
      <c r="C5" s="1" t="s">
        <v>40</v>
      </c>
      <c r="E5" s="1" t="s">
        <v>32</v>
      </c>
      <c r="G5" s="1" t="s">
        <v>47</v>
      </c>
      <c r="J5" s="1" t="s">
        <v>16</v>
      </c>
    </row>
    <row r="6" spans="1:11" ht="42" customHeight="1" x14ac:dyDescent="0.25">
      <c r="B6" s="1" t="s">
        <v>46</v>
      </c>
      <c r="C6" s="1" t="s">
        <v>41</v>
      </c>
      <c r="E6" s="1" t="s">
        <v>33</v>
      </c>
    </row>
  </sheetData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195</vt:i4>
      </vt:variant>
    </vt:vector>
  </HeadingPairs>
  <TitlesOfParts>
    <vt:vector size="211" baseType="lpstr">
      <vt:lpstr>RESUMO</vt:lpstr>
      <vt:lpstr>MODELO</vt:lpstr>
      <vt:lpstr>Variáveis de Seleção</vt:lpstr>
      <vt:lpstr>JAN_2024</vt:lpstr>
      <vt:lpstr>FEV_2024</vt:lpstr>
      <vt:lpstr>MAR_2024</vt:lpstr>
      <vt:lpstr>ABR_2024 </vt:lpstr>
      <vt:lpstr>MAI_2024</vt:lpstr>
      <vt:lpstr>JUN_2024</vt:lpstr>
      <vt:lpstr>JUL_2024</vt:lpstr>
      <vt:lpstr>AGO_2024</vt:lpstr>
      <vt:lpstr>SET_2024</vt:lpstr>
      <vt:lpstr>OUT_2024</vt:lpstr>
      <vt:lpstr>NOV_2024</vt:lpstr>
      <vt:lpstr>DEZ_2024</vt:lpstr>
      <vt:lpstr>Tipos de Gastos</vt:lpstr>
      <vt:lpstr>'ABR_2024 '!Alimentação</vt:lpstr>
      <vt:lpstr>AGO_2024!Alimentação</vt:lpstr>
      <vt:lpstr>DEZ_2024!Alimentação</vt:lpstr>
      <vt:lpstr>FEV_2024!Alimentação</vt:lpstr>
      <vt:lpstr>JAN_2024!Alimentação</vt:lpstr>
      <vt:lpstr>JUL_2024!Alimentação</vt:lpstr>
      <vt:lpstr>JUN_2024!Alimentação</vt:lpstr>
      <vt:lpstr>MAI_2024!Alimentação</vt:lpstr>
      <vt:lpstr>MAR_2024!Alimentação</vt:lpstr>
      <vt:lpstr>NOV_2024!Alimentação</vt:lpstr>
      <vt:lpstr>OUT_2024!Alimentação</vt:lpstr>
      <vt:lpstr>SET_2024!Alimentação</vt:lpstr>
      <vt:lpstr>Alimentação</vt:lpstr>
      <vt:lpstr>'ABR_2024 '!Educação</vt:lpstr>
      <vt:lpstr>AGO_2024!Educação</vt:lpstr>
      <vt:lpstr>DEZ_2024!Educação</vt:lpstr>
      <vt:lpstr>FEV_2024!Educação</vt:lpstr>
      <vt:lpstr>JAN_2024!Educação</vt:lpstr>
      <vt:lpstr>JUL_2024!Educação</vt:lpstr>
      <vt:lpstr>JUN_2024!Educação</vt:lpstr>
      <vt:lpstr>MAI_2024!Educação</vt:lpstr>
      <vt:lpstr>MAR_2024!Educação</vt:lpstr>
      <vt:lpstr>NOV_2024!Educação</vt:lpstr>
      <vt:lpstr>OUT_2024!Educação</vt:lpstr>
      <vt:lpstr>SET_2024!Educação</vt:lpstr>
      <vt:lpstr>Educação</vt:lpstr>
      <vt:lpstr>'ABR_2024 '!EssenciaisTotais</vt:lpstr>
      <vt:lpstr>AGO_2024!EssenciaisTotais</vt:lpstr>
      <vt:lpstr>DEZ_2024!EssenciaisTotais</vt:lpstr>
      <vt:lpstr>FEV_2024!EssenciaisTotais</vt:lpstr>
      <vt:lpstr>JAN_2024!EssenciaisTotais</vt:lpstr>
      <vt:lpstr>JUL_2024!EssenciaisTotais</vt:lpstr>
      <vt:lpstr>JUN_2024!EssenciaisTotais</vt:lpstr>
      <vt:lpstr>MAI_2024!EssenciaisTotais</vt:lpstr>
      <vt:lpstr>MAR_2024!EssenciaisTotais</vt:lpstr>
      <vt:lpstr>NOV_2024!EssenciaisTotais</vt:lpstr>
      <vt:lpstr>OUT_2024!EssenciaisTotais</vt:lpstr>
      <vt:lpstr>SET_2024!EssenciaisTotais</vt:lpstr>
      <vt:lpstr>EssenciaisTotais</vt:lpstr>
      <vt:lpstr>'ABR_2024 '!FixosTotais</vt:lpstr>
      <vt:lpstr>AGO_2024!FixosTotais</vt:lpstr>
      <vt:lpstr>DEZ_2024!FixosTotais</vt:lpstr>
      <vt:lpstr>FEV_2024!FixosTotais</vt:lpstr>
      <vt:lpstr>JAN_2024!FixosTotais</vt:lpstr>
      <vt:lpstr>JUL_2024!FixosTotais</vt:lpstr>
      <vt:lpstr>JUN_2024!FixosTotais</vt:lpstr>
      <vt:lpstr>MAI_2024!FixosTotais</vt:lpstr>
      <vt:lpstr>MAR_2024!FixosTotais</vt:lpstr>
      <vt:lpstr>NOV_2024!FixosTotais</vt:lpstr>
      <vt:lpstr>OUT_2024!FixosTotais</vt:lpstr>
      <vt:lpstr>SET_2024!FixosTotais</vt:lpstr>
      <vt:lpstr>FixosTotais</vt:lpstr>
      <vt:lpstr>'ABR_2024 '!Habitação</vt:lpstr>
      <vt:lpstr>AGO_2024!Habitação</vt:lpstr>
      <vt:lpstr>DEZ_2024!Habitação</vt:lpstr>
      <vt:lpstr>FEV_2024!Habitação</vt:lpstr>
      <vt:lpstr>JAN_2024!Habitação</vt:lpstr>
      <vt:lpstr>JUL_2024!Habitação</vt:lpstr>
      <vt:lpstr>JUN_2024!Habitação</vt:lpstr>
      <vt:lpstr>MAI_2024!Habitação</vt:lpstr>
      <vt:lpstr>MAR_2024!Habitação</vt:lpstr>
      <vt:lpstr>NOV_2024!Habitação</vt:lpstr>
      <vt:lpstr>OUT_2024!Habitação</vt:lpstr>
      <vt:lpstr>SET_2024!Habitação</vt:lpstr>
      <vt:lpstr>Habitação</vt:lpstr>
      <vt:lpstr>'ABR_2024 '!Lazer</vt:lpstr>
      <vt:lpstr>AGO_2024!Lazer</vt:lpstr>
      <vt:lpstr>DEZ_2024!Lazer</vt:lpstr>
      <vt:lpstr>FEV_2024!Lazer</vt:lpstr>
      <vt:lpstr>JAN_2024!Lazer</vt:lpstr>
      <vt:lpstr>JUL_2024!Lazer</vt:lpstr>
      <vt:lpstr>JUN_2024!Lazer</vt:lpstr>
      <vt:lpstr>MAI_2024!Lazer</vt:lpstr>
      <vt:lpstr>MAR_2024!Lazer</vt:lpstr>
      <vt:lpstr>NOV_2024!Lazer</vt:lpstr>
      <vt:lpstr>OUT_2024!Lazer</vt:lpstr>
      <vt:lpstr>SET_2024!Lazer</vt:lpstr>
      <vt:lpstr>Lazer</vt:lpstr>
      <vt:lpstr>'ABR_2024 '!NãoEssenciaisTotais</vt:lpstr>
      <vt:lpstr>AGO_2024!NãoEssenciaisTotais</vt:lpstr>
      <vt:lpstr>DEZ_2024!NãoEssenciaisTotais</vt:lpstr>
      <vt:lpstr>FEV_2024!NãoEssenciaisTotais</vt:lpstr>
      <vt:lpstr>JAN_2024!NãoEssenciaisTotais</vt:lpstr>
      <vt:lpstr>JUL_2024!NãoEssenciaisTotais</vt:lpstr>
      <vt:lpstr>JUN_2024!NãoEssenciaisTotais</vt:lpstr>
      <vt:lpstr>MAI_2024!NãoEssenciaisTotais</vt:lpstr>
      <vt:lpstr>MAR_2024!NãoEssenciaisTotais</vt:lpstr>
      <vt:lpstr>NOV_2024!NãoEssenciaisTotais</vt:lpstr>
      <vt:lpstr>OUT_2024!NãoEssenciaisTotais</vt:lpstr>
      <vt:lpstr>SET_2024!NãoEssenciaisTotais</vt:lpstr>
      <vt:lpstr>NãoEssenciaisTotais</vt:lpstr>
      <vt:lpstr>'ABR_2024 '!Outros</vt:lpstr>
      <vt:lpstr>AGO_2024!Outros</vt:lpstr>
      <vt:lpstr>DEZ_2024!Outros</vt:lpstr>
      <vt:lpstr>FEV_2024!Outros</vt:lpstr>
      <vt:lpstr>JAN_2024!Outros</vt:lpstr>
      <vt:lpstr>JUL_2024!Outros</vt:lpstr>
      <vt:lpstr>JUN_2024!Outros</vt:lpstr>
      <vt:lpstr>MAI_2024!Outros</vt:lpstr>
      <vt:lpstr>MAR_2024!Outros</vt:lpstr>
      <vt:lpstr>NOV_2024!Outros</vt:lpstr>
      <vt:lpstr>OUT_2024!Outros</vt:lpstr>
      <vt:lpstr>SET_2024!Outros</vt:lpstr>
      <vt:lpstr>Outros</vt:lpstr>
      <vt:lpstr>'ABR_2024 '!Pessoal</vt:lpstr>
      <vt:lpstr>AGO_2024!Pessoal</vt:lpstr>
      <vt:lpstr>DEZ_2024!Pessoal</vt:lpstr>
      <vt:lpstr>FEV_2024!Pessoal</vt:lpstr>
      <vt:lpstr>JAN_2024!Pessoal</vt:lpstr>
      <vt:lpstr>JUL_2024!Pessoal</vt:lpstr>
      <vt:lpstr>JUN_2024!Pessoal</vt:lpstr>
      <vt:lpstr>MAI_2024!Pessoal</vt:lpstr>
      <vt:lpstr>MAR_2024!Pessoal</vt:lpstr>
      <vt:lpstr>NOV_2024!Pessoal</vt:lpstr>
      <vt:lpstr>OUT_2024!Pessoal</vt:lpstr>
      <vt:lpstr>SET_2024!Pessoal</vt:lpstr>
      <vt:lpstr>Pessoal</vt:lpstr>
      <vt:lpstr>'ABR_2024 '!RendaTotal</vt:lpstr>
      <vt:lpstr>AGO_2024!RendaTotal</vt:lpstr>
      <vt:lpstr>DEZ_2024!RendaTotal</vt:lpstr>
      <vt:lpstr>FEV_2024!RendaTotal</vt:lpstr>
      <vt:lpstr>JAN_2024!RendaTotal</vt:lpstr>
      <vt:lpstr>JUL_2024!RendaTotal</vt:lpstr>
      <vt:lpstr>JUN_2024!RendaTotal</vt:lpstr>
      <vt:lpstr>MAI_2024!RendaTotal</vt:lpstr>
      <vt:lpstr>MAR_2024!RendaTotal</vt:lpstr>
      <vt:lpstr>NOV_2024!RendaTotal</vt:lpstr>
      <vt:lpstr>OUT_2024!RendaTotal</vt:lpstr>
      <vt:lpstr>SET_2024!RendaTotal</vt:lpstr>
      <vt:lpstr>RendaTotal</vt:lpstr>
      <vt:lpstr>'ABR_2024 '!Saúde</vt:lpstr>
      <vt:lpstr>AGO_2024!Saúde</vt:lpstr>
      <vt:lpstr>DEZ_2024!Saúde</vt:lpstr>
      <vt:lpstr>FEV_2024!Saúde</vt:lpstr>
      <vt:lpstr>JAN_2024!Saúde</vt:lpstr>
      <vt:lpstr>JUL_2024!Saúde</vt:lpstr>
      <vt:lpstr>JUN_2024!Saúde</vt:lpstr>
      <vt:lpstr>MAI_2024!Saúde</vt:lpstr>
      <vt:lpstr>MAR_2024!Saúde</vt:lpstr>
      <vt:lpstr>NOV_2024!Saúde</vt:lpstr>
      <vt:lpstr>OUT_2024!Saúde</vt:lpstr>
      <vt:lpstr>SET_2024!Saúde</vt:lpstr>
      <vt:lpstr>Saúde</vt:lpstr>
      <vt:lpstr>'ABR_2024 '!ServiçosEssenciais</vt:lpstr>
      <vt:lpstr>AGO_2024!ServiçosEssenciais</vt:lpstr>
      <vt:lpstr>DEZ_2024!ServiçosEssenciais</vt:lpstr>
      <vt:lpstr>FEV_2024!ServiçosEssenciais</vt:lpstr>
      <vt:lpstr>JAN_2024!ServiçosEssenciais</vt:lpstr>
      <vt:lpstr>JUL_2024!ServiçosEssenciais</vt:lpstr>
      <vt:lpstr>JUN_2024!ServiçosEssenciais</vt:lpstr>
      <vt:lpstr>MAI_2024!ServiçosEssenciais</vt:lpstr>
      <vt:lpstr>MAR_2024!ServiçosEssenciais</vt:lpstr>
      <vt:lpstr>NOV_2024!ServiçosEssenciais</vt:lpstr>
      <vt:lpstr>OUT_2024!ServiçosEssenciais</vt:lpstr>
      <vt:lpstr>SET_2024!ServiçosEssenciais</vt:lpstr>
      <vt:lpstr>ServiçosEssenciais</vt:lpstr>
      <vt:lpstr>'ABR_2024 '!Tipos</vt:lpstr>
      <vt:lpstr>AGO_2024!Tipos</vt:lpstr>
      <vt:lpstr>DEZ_2024!Tipos</vt:lpstr>
      <vt:lpstr>FEV_2024!Tipos</vt:lpstr>
      <vt:lpstr>JAN_2024!Tipos</vt:lpstr>
      <vt:lpstr>JUL_2024!Tipos</vt:lpstr>
      <vt:lpstr>JUN_2024!Tipos</vt:lpstr>
      <vt:lpstr>MAI_2024!Tipos</vt:lpstr>
      <vt:lpstr>MAR_2024!Tipos</vt:lpstr>
      <vt:lpstr>NOV_2024!Tipos</vt:lpstr>
      <vt:lpstr>OUT_2024!Tipos</vt:lpstr>
      <vt:lpstr>SET_2024!Tipos</vt:lpstr>
      <vt:lpstr>Tipos</vt:lpstr>
      <vt:lpstr>'ABR_2024 '!Transporte</vt:lpstr>
      <vt:lpstr>AGO_2024!Transporte</vt:lpstr>
      <vt:lpstr>DEZ_2024!Transporte</vt:lpstr>
      <vt:lpstr>FEV_2024!Transporte</vt:lpstr>
      <vt:lpstr>JAN_2024!Transporte</vt:lpstr>
      <vt:lpstr>JUL_2024!Transporte</vt:lpstr>
      <vt:lpstr>JUN_2024!Transporte</vt:lpstr>
      <vt:lpstr>MAI_2024!Transporte</vt:lpstr>
      <vt:lpstr>MAR_2024!Transporte</vt:lpstr>
      <vt:lpstr>NOV_2024!Transporte</vt:lpstr>
      <vt:lpstr>OUT_2024!Transporte</vt:lpstr>
      <vt:lpstr>SET_2024!Transporte</vt:lpstr>
      <vt:lpstr>Transporte</vt:lpstr>
      <vt:lpstr>'ABR_2024 '!Vestuário</vt:lpstr>
      <vt:lpstr>AGO_2024!Vestuário</vt:lpstr>
      <vt:lpstr>DEZ_2024!Vestuário</vt:lpstr>
      <vt:lpstr>FEV_2024!Vestuário</vt:lpstr>
      <vt:lpstr>JAN_2024!Vestuário</vt:lpstr>
      <vt:lpstr>JUL_2024!Vestuário</vt:lpstr>
      <vt:lpstr>JUN_2024!Vestuário</vt:lpstr>
      <vt:lpstr>MAI_2024!Vestuário</vt:lpstr>
      <vt:lpstr>MAR_2024!Vestuário</vt:lpstr>
      <vt:lpstr>NOV_2024!Vestuário</vt:lpstr>
      <vt:lpstr>OUT_2024!Vestuário</vt:lpstr>
      <vt:lpstr>SET_2024!Vestuário</vt:lpstr>
      <vt:lpstr>Vestuário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Maycon Manini</dc:creator>
  <cp:lastModifiedBy>Maycon Manini</cp:lastModifiedBy>
  <cp:lastPrinted>2024-06-19T00:09:00Z</cp:lastPrinted>
  <dcterms:created xsi:type="dcterms:W3CDTF">2024-06-15T10:03:35Z</dcterms:created>
  <dcterms:modified xsi:type="dcterms:W3CDTF">2024-07-02T10:36:26Z</dcterms:modified>
</cp:coreProperties>
</file>